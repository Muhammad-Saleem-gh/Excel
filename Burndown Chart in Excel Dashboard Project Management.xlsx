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92msm\3D Objects\Applied\Done\"/>
    </mc:Choice>
  </mc:AlternateContent>
  <xr:revisionPtr revIDLastSave="0" documentId="13_ncr:1_{22876006-1429-45FE-B6A7-E486E9D0ACE4}" xr6:coauthVersionLast="47" xr6:coauthVersionMax="47" xr10:uidLastSave="{00000000-0000-0000-0000-000000000000}"/>
  <bookViews>
    <workbookView xWindow="-120" yWindow="-120" windowWidth="15600" windowHeight="11310" tabRatio="739" firstSheet="1" activeTab="1" xr2:uid="{DECD55C9-3436-490A-9E52-8D13C61A75A8}"/>
  </bookViews>
  <sheets>
    <sheet name="DASHBOARD" sheetId="1" r:id="rId1"/>
    <sheet name="DASHBOARD DARK" sheetId="6" r:id="rId2"/>
    <sheet name="Processing" sheetId="2" r:id="rId3"/>
    <sheet name="Control" sheetId="3" r:id="rId4"/>
    <sheet name="Data" sheetId="4" r:id="rId5"/>
    <sheet name="Resources" sheetId="5" r:id="rId6"/>
  </sheets>
  <definedNames>
    <definedName name="Slicer_Managers">#N/A</definedName>
    <definedName name="Slicer_Month">#N/A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2" l="1"/>
  <c r="J8" i="2"/>
  <c r="C17" i="2"/>
  <c r="E28" i="2"/>
  <c r="C18" i="2"/>
  <c r="C22" i="2"/>
  <c r="E19" i="2"/>
  <c r="E23" i="2"/>
  <c r="H10" i="2"/>
  <c r="N4" i="2"/>
  <c r="H11" i="2"/>
  <c r="O17" i="2"/>
  <c r="N5" i="2"/>
  <c r="C28" i="2"/>
  <c r="E22" i="2"/>
  <c r="E17" i="2"/>
  <c r="N3" i="2"/>
  <c r="H8" i="2"/>
  <c r="O16" i="2"/>
  <c r="E18" i="2"/>
  <c r="C21" i="2"/>
  <c r="C20" i="2"/>
  <c r="N6" i="2"/>
  <c r="E15" i="2"/>
  <c r="E24" i="2"/>
  <c r="C26" i="2"/>
  <c r="C23" i="2"/>
  <c r="C25" i="2"/>
  <c r="E20" i="2"/>
  <c r="E25" i="2"/>
  <c r="O15" i="2"/>
  <c r="C14" i="2"/>
  <c r="C15" i="2"/>
  <c r="B14" i="2"/>
  <c r="I12" i="2"/>
  <c r="E21" i="2"/>
  <c r="E26" i="2"/>
  <c r="C27" i="2"/>
  <c r="H9" i="2"/>
  <c r="E27" i="2"/>
  <c r="C19" i="2"/>
  <c r="C24" i="2"/>
  <c r="N2" i="2"/>
  <c r="O18" i="2"/>
  <c r="C2" i="2"/>
  <c r="B13" i="2"/>
  <c r="C7" i="2"/>
  <c r="C11" i="2"/>
  <c r="B4" i="2"/>
  <c r="B5" i="2"/>
  <c r="E8" i="2"/>
  <c r="E6" i="2"/>
  <c r="E2" i="2"/>
  <c r="E10" i="2"/>
  <c r="B8" i="2"/>
  <c r="B6" i="2"/>
  <c r="E11" i="2"/>
  <c r="C9" i="2"/>
  <c r="C5" i="2"/>
  <c r="B2" i="2"/>
  <c r="C10" i="2"/>
  <c r="C4" i="2"/>
  <c r="B7" i="2"/>
  <c r="E5" i="2"/>
  <c r="E4" i="2"/>
  <c r="E13" i="2"/>
  <c r="E9" i="2"/>
  <c r="B3" i="2"/>
  <c r="B12" i="2"/>
  <c r="E3" i="2"/>
  <c r="C8" i="2"/>
  <c r="C3" i="2"/>
  <c r="C6" i="2"/>
  <c r="C13" i="2"/>
  <c r="B11" i="2"/>
  <c r="B9" i="2"/>
  <c r="E7" i="2"/>
  <c r="C12" i="2"/>
  <c r="B10" i="2"/>
  <c r="E12" i="2"/>
  <c r="G2" i="2"/>
  <c r="D12" i="2" l="1"/>
  <c r="D7" i="2"/>
  <c r="D3" i="2"/>
  <c r="D9" i="2"/>
  <c r="D13" i="2"/>
  <c r="D4" i="2"/>
  <c r="D5" i="2"/>
  <c r="D11" i="2"/>
  <c r="D10" i="2"/>
  <c r="D2" i="2"/>
  <c r="D6" i="2"/>
  <c r="D8" i="2"/>
  <c r="G5" i="2"/>
  <c r="H5" i="2" s="1"/>
  <c r="B23" i="2"/>
  <c r="B18" i="2"/>
  <c r="I9" i="2"/>
  <c r="H2" i="2"/>
  <c r="I2" i="2" s="1"/>
  <c r="K15" i="2" a="1"/>
  <c r="B22" i="2"/>
  <c r="B19" i="2"/>
  <c r="B20" i="2"/>
  <c r="D18" i="2"/>
  <c r="D19" i="2" s="1"/>
  <c r="D20" i="2" s="1"/>
  <c r="D21" i="2" s="1"/>
  <c r="D22" i="2" s="1"/>
  <c r="D23" i="2" s="1"/>
  <c r="D24" i="2" s="1"/>
  <c r="I8" i="2"/>
  <c r="B27" i="2"/>
  <c r="I11" i="2"/>
  <c r="I10" i="2"/>
  <c r="B21" i="2"/>
  <c r="B17" i="2"/>
  <c r="D25" i="2" l="1"/>
  <c r="K15" i="2"/>
  <c r="K16" i="2"/>
  <c r="L16" i="2"/>
  <c r="M16" i="2" s="1"/>
  <c r="K17" i="2"/>
  <c r="L17" i="2"/>
  <c r="M17" i="2" s="1"/>
  <c r="L15" i="2"/>
  <c r="M15" i="2" s="1"/>
  <c r="L18" i="2"/>
  <c r="M18" i="2" s="1"/>
  <c r="K18" i="2"/>
  <c r="J2" i="2"/>
  <c r="K2" i="2"/>
  <c r="D14" i="2"/>
  <c r="D26" i="2" l="1"/>
  <c r="D27" i="2" l="1"/>
  <c r="D28" i="2" l="1"/>
  <c r="F27" i="2"/>
  <c r="F25" i="2"/>
  <c r="F22" i="2"/>
  <c r="F21" i="2"/>
  <c r="F23" i="2"/>
  <c r="F19" i="2"/>
  <c r="F17" i="2"/>
  <c r="F18" i="2"/>
  <c r="F20" i="2"/>
  <c r="F24" i="2"/>
  <c r="F26" i="2"/>
  <c r="F28" i="2"/>
  <c r="G28" i="2" l="1"/>
  <c r="G26" i="2"/>
  <c r="G24" i="2"/>
  <c r="G20" i="2"/>
  <c r="G18" i="2"/>
  <c r="D15" i="2"/>
  <c r="G17" i="2"/>
  <c r="G19" i="2"/>
  <c r="G23" i="2"/>
  <c r="G21" i="2"/>
  <c r="G22" i="2"/>
  <c r="G25" i="2"/>
  <c r="G27" i="2"/>
  <c r="M9" i="2" l="1"/>
  <c r="M10" i="2"/>
  <c r="M11" i="2"/>
</calcChain>
</file>

<file path=xl/sharedStrings.xml><?xml version="1.0" encoding="utf-8"?>
<sst xmlns="http://schemas.openxmlformats.org/spreadsheetml/2006/main" count="443" uniqueCount="91">
  <si>
    <t>Colors</t>
  </si>
  <si>
    <t>Position</t>
  </si>
  <si>
    <t>Angle</t>
  </si>
  <si>
    <t>Transparency</t>
  </si>
  <si>
    <t>Shadow</t>
  </si>
  <si>
    <t>[&gt;=1000]0,"k";[&lt;=-1000]-0,"k";0</t>
  </si>
  <si>
    <t>$#,##0;-$#,##0;0</t>
  </si>
  <si>
    <t>Budget/Expenses</t>
  </si>
  <si>
    <t>JAN</t>
  </si>
  <si>
    <t>FEB</t>
  </si>
  <si>
    <t>MAR</t>
  </si>
  <si>
    <t>APR</t>
  </si>
  <si>
    <t>MAY</t>
  </si>
  <si>
    <t>JUN</t>
  </si>
  <si>
    <t>JUL</t>
  </si>
  <si>
    <t>AUG</t>
  </si>
  <si>
    <t>SEP</t>
  </si>
  <si>
    <t>OCT</t>
  </si>
  <si>
    <t>NOV</t>
  </si>
  <si>
    <t>DEC</t>
  </si>
  <si>
    <t>Budget</t>
  </si>
  <si>
    <t>Expenses</t>
  </si>
  <si>
    <t>Deficit</t>
  </si>
  <si>
    <t>Cursor</t>
  </si>
  <si>
    <t>Total Budget</t>
  </si>
  <si>
    <t>KPI</t>
  </si>
  <si>
    <t>Top Managers</t>
  </si>
  <si>
    <t>Manag1</t>
  </si>
  <si>
    <t>Manag2</t>
  </si>
  <si>
    <t>Manag3</t>
  </si>
  <si>
    <t>Manag4</t>
  </si>
  <si>
    <t>Commitment Reliability</t>
  </si>
  <si>
    <t>Defect-Free Delivery Rate</t>
  </si>
  <si>
    <t>On-Time Delivery Rate</t>
  </si>
  <si>
    <t>Flow Efficiency</t>
  </si>
  <si>
    <t>Indicator</t>
  </si>
  <si>
    <t>Value</t>
  </si>
  <si>
    <t>Agile Execution Metrics</t>
  </si>
  <si>
    <t>Team Satisfaction Level</t>
  </si>
  <si>
    <t>Engagement</t>
  </si>
  <si>
    <t>Workload</t>
  </si>
  <si>
    <t>Autonomy</t>
  </si>
  <si>
    <t>Collaboration</t>
  </si>
  <si>
    <t>Flow State</t>
  </si>
  <si>
    <t>Score</t>
  </si>
  <si>
    <t>Sources</t>
  </si>
  <si>
    <t>Added</t>
  </si>
  <si>
    <t>Completed</t>
  </si>
  <si>
    <t>Pending</t>
  </si>
  <si>
    <t>Task Status</t>
  </si>
  <si>
    <t>Share</t>
  </si>
  <si>
    <t>Tasks Complet</t>
  </si>
  <si>
    <t>Plan</t>
  </si>
  <si>
    <t>indent</t>
  </si>
  <si>
    <t>Epic Burndown Chart</t>
  </si>
  <si>
    <t>Year</t>
  </si>
  <si>
    <t>Month</t>
  </si>
  <si>
    <t>Managers</t>
  </si>
  <si>
    <t>Pie Chart</t>
  </si>
  <si>
    <t>Row Labels</t>
  </si>
  <si>
    <t>Grand Total</t>
  </si>
  <si>
    <t>Sum of Budget</t>
  </si>
  <si>
    <t>Sum of Expenses</t>
  </si>
  <si>
    <t>Sum of Added</t>
  </si>
  <si>
    <t>Sum of Completed</t>
  </si>
  <si>
    <t>Sum of Plan</t>
  </si>
  <si>
    <t>Number</t>
  </si>
  <si>
    <t>Max of Number</t>
  </si>
  <si>
    <t>labels</t>
  </si>
  <si>
    <t>Average of Commitment Reliability</t>
  </si>
  <si>
    <t>Average of Defect-Free Delivery Rate</t>
  </si>
  <si>
    <t>Average of On-Time Delivery Rate</t>
  </si>
  <si>
    <t>Average of Flow Efficiency</t>
  </si>
  <si>
    <t>Average of Engagement</t>
  </si>
  <si>
    <t>Average of Workload</t>
  </si>
  <si>
    <t>Average of Autonomy</t>
  </si>
  <si>
    <t>Max of Collaboration</t>
  </si>
  <si>
    <t>Average of Flow State</t>
  </si>
  <si>
    <t>#0E1324</t>
  </si>
  <si>
    <t>#111B31</t>
  </si>
  <si>
    <t>#207BDE</t>
  </si>
  <si>
    <t>#B171F9</t>
  </si>
  <si>
    <t>#6FB5EF</t>
  </si>
  <si>
    <t>#1F2F57</t>
  </si>
  <si>
    <t>#8AC3F2</t>
  </si>
  <si>
    <t>#419BE9</t>
  </si>
  <si>
    <t>#1553B7</t>
  </si>
  <si>
    <t>#1A74E0</t>
  </si>
  <si>
    <t>#A0D8FC</t>
  </si>
  <si>
    <t>#0D95FF</t>
  </si>
  <si>
    <t>#FF00FF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</si>
</sst>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
  </numFmts>
  <fonts count="7" x14ac:knownFonts="1">
    <font>
      <sz val="11"/>
      <color theme="1"/>
      <name val="Aptos Narrow"/>
      <family val="2"/>
      <scheme val="minor"/>
    </font>
    <font>
      <sz val="1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rgb="FF000000"/>
      <name val="Aptos Narrow"/>
      <family val="2"/>
      <charset val="1"/>
      <scheme val="minor"/>
    </font>
    <font>
      <sz val="11"/>
      <color theme="0"/>
      <name val="Aptos Narrow"/>
      <family val="2"/>
      <scheme val="minor"/>
    </font>
  </fonts>
  <fills count="17">
    <fill>
      <patternFill patternType="none"/>
    </fill>
    <fill>
      <patternFill patternType="gray125"/>
    </fill>
    <fill>
      <patternFill patternType="solid">
        <fgColor rgb="FFEFF0F3"/>
        <bgColor indexed="64"/>
      </patternFill>
    </fill>
    <fill>
      <patternFill patternType="solid">
        <fgColor rgb="FF06090F"/>
        <bgColor indexed="64"/>
      </patternFill>
    </fill>
    <fill>
      <patternFill patternType="solid">
        <fgColor rgb="FF0E1324"/>
        <bgColor indexed="64"/>
      </patternFill>
    </fill>
    <fill>
      <patternFill patternType="solid">
        <fgColor rgb="FF111B31"/>
        <bgColor indexed="64"/>
      </patternFill>
    </fill>
    <fill>
      <patternFill patternType="solid">
        <fgColor rgb="FF207BDE"/>
        <bgColor indexed="64"/>
      </patternFill>
    </fill>
    <fill>
      <patternFill patternType="solid">
        <fgColor rgb="FFB171F9"/>
        <bgColor indexed="64"/>
      </patternFill>
    </fill>
    <fill>
      <patternFill patternType="solid">
        <fgColor rgb="FF6FB5EF"/>
        <bgColor indexed="64"/>
      </patternFill>
    </fill>
    <fill>
      <patternFill patternType="solid">
        <fgColor rgb="FF1F2F57"/>
        <bgColor indexed="64"/>
      </patternFill>
    </fill>
    <fill>
      <patternFill patternType="solid">
        <fgColor rgb="FF8AC3F2"/>
        <bgColor indexed="64"/>
      </patternFill>
    </fill>
    <fill>
      <patternFill patternType="solid">
        <fgColor rgb="FF419BE9"/>
        <bgColor indexed="64"/>
      </patternFill>
    </fill>
    <fill>
      <patternFill patternType="solid">
        <fgColor rgb="FF1553B7"/>
        <bgColor indexed="64"/>
      </patternFill>
    </fill>
    <fill>
      <patternFill patternType="solid">
        <fgColor rgb="FF1A74E0"/>
        <bgColor indexed="64"/>
      </patternFill>
    </fill>
    <fill>
      <patternFill patternType="solid">
        <fgColor rgb="FFA0D8FC"/>
        <bgColor indexed="64"/>
      </patternFill>
    </fill>
    <fill>
      <patternFill patternType="solid">
        <fgColor rgb="FF0D95FF"/>
        <bgColor indexed="64"/>
      </patternFill>
    </fill>
    <fill>
      <patternFill patternType="solid">
        <fgColor rgb="FFFF00FF"/>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4">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164" fontId="0" fillId="0" borderId="0" xfId="1" applyNumberFormat="1" applyFont="1"/>
    <xf numFmtId="9" fontId="0" fillId="0" borderId="0" xfId="0" applyNumberFormat="1" applyAlignment="1">
      <alignment horizontal="center"/>
    </xf>
    <xf numFmtId="9" fontId="0" fillId="0" borderId="0" xfId="2" applyFont="1" applyAlignment="1">
      <alignment horizontal="center"/>
    </xf>
    <xf numFmtId="0" fontId="0" fillId="0" borderId="0" xfId="0" applyAlignment="1">
      <alignment horizontal="right"/>
    </xf>
    <xf numFmtId="0" fontId="3" fillId="0" borderId="0" xfId="0" applyFont="1" applyAlignment="1">
      <alignment horizontal="center"/>
    </xf>
    <xf numFmtId="0" fontId="3" fillId="0" borderId="0" xfId="0" applyFont="1"/>
    <xf numFmtId="0" fontId="3" fillId="0" borderId="0" xfId="0" applyFont="1" applyAlignment="1">
      <alignment horizontal="right"/>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pivotButton="1"/>
    <xf numFmtId="0" fontId="5" fillId="0" borderId="0" xfId="0" applyFont="1" applyAlignment="1">
      <alignment horizontal="center"/>
    </xf>
    <xf numFmtId="165" fontId="0" fillId="0" borderId="0" xfId="0" applyNumberFormat="1" applyAlignment="1">
      <alignment horizontal="center"/>
    </xf>
    <xf numFmtId="0" fontId="0" fillId="3" borderId="0" xfId="0" applyFill="1"/>
    <xf numFmtId="0" fontId="6" fillId="4" borderId="0" xfId="0" applyFont="1" applyFill="1"/>
    <xf numFmtId="0" fontId="6" fillId="5" borderId="0" xfId="0" applyFont="1" applyFill="1"/>
    <xf numFmtId="0" fontId="6" fillId="0" borderId="0" xfId="0" applyFont="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6" fillId="11" borderId="0" xfId="0" applyFont="1" applyFill="1"/>
    <xf numFmtId="0" fontId="0" fillId="10" borderId="0" xfId="0" applyFill="1"/>
    <xf numFmtId="0" fontId="6" fillId="12" borderId="0" xfId="0" applyFont="1" applyFill="1"/>
    <xf numFmtId="0" fontId="6" fillId="13" borderId="0" xfId="0" applyFont="1" applyFill="1"/>
    <xf numFmtId="0" fontId="1" fillId="14" borderId="0" xfId="0" applyFont="1" applyFill="1"/>
    <xf numFmtId="0" fontId="0" fillId="15" borderId="0" xfId="0" applyFill="1"/>
    <xf numFmtId="0" fontId="0" fillId="16" borderId="0" xfId="0" applyFill="1"/>
    <xf numFmtId="0" fontId="0" fillId="0" borderId="0" xfId="0" applyAlignment="1">
      <alignment horizontal="center"/>
    </xf>
  </cellXfs>
  <cellStyles count="3">
    <cellStyle name="Currency" xfId="1" builtinId="4"/>
    <cellStyle name="Normal" xfId="0" builtinId="0"/>
    <cellStyle name="Percent" xfId="2" builtinId="5"/>
  </cellStyles>
  <dxfs count="2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color theme="1"/>
      </font>
      <border>
        <bottom style="thin">
          <color theme="4"/>
        </bottom>
        <vertical/>
        <horizontal/>
      </border>
    </dxf>
    <dxf>
      <font>
        <color theme="1"/>
      </font>
      <fill>
        <patternFill>
          <bgColor rgb="FF111B31"/>
        </patternFill>
      </fill>
      <border diagonalUp="0" diagonalDown="0">
        <left/>
        <right/>
        <top/>
        <bottom/>
        <vertical/>
        <horizontal/>
      </border>
    </dxf>
    <dxf>
      <font>
        <b/>
        <color theme="1"/>
      </font>
      <border>
        <bottom style="thin">
          <color theme="4"/>
        </bottom>
        <vertical/>
        <horizontal/>
      </border>
    </dxf>
    <dxf>
      <font>
        <color theme="1"/>
      </font>
      <fill>
        <patternFill>
          <bgColor rgb="FF111B31"/>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4" defaultTableStyle="TableStyleMedium2" defaultPivotStyle="PivotStyleLight16">
    <tableStyle name="SlicerStyleLight1 2" pivot="0" table="0" count="10" xr9:uid="{1EDC77A9-5773-416D-AEFB-C60EA5662501}">
      <tableStyleElement type="wholeTable" dxfId="27"/>
      <tableStyleElement type="headerRow" dxfId="26"/>
    </tableStyle>
    <tableStyle name="SlicerStyleLight1 2 2" pivot="0" table="0" count="10" xr9:uid="{05EB417A-CE64-4AA4-B844-A31C9BBA4294}">
      <tableStyleElement type="wholeTable" dxfId="25"/>
      <tableStyleElement type="headerRow" dxfId="24"/>
    </tableStyle>
    <tableStyle name="SlicerStyleLight1 2 2 2" pivot="0" table="0" count="10" xr9:uid="{AA64DA3D-B3C4-4379-AA4F-5519060C46E1}">
      <tableStyleElement type="wholeTable" dxfId="23"/>
      <tableStyleElement type="headerRow" dxfId="22"/>
    </tableStyle>
    <tableStyle name="SlicerStyleLight1 2 3" pivot="0" table="0" count="10" xr9:uid="{EB758F1E-CA99-4671-9413-F22877FE834F}">
      <tableStyleElement type="wholeTable" dxfId="21"/>
      <tableStyleElement type="headerRow" dxfId="20"/>
    </tableStyle>
  </tableStyles>
  <colors>
    <mruColors>
      <color rgb="FF207BDE"/>
      <color rgb="FF419BE9"/>
      <color rgb="FF8AC3F2"/>
      <color rgb="FF06090F"/>
      <color rgb="FFEFF0F3"/>
      <color rgb="FF182644"/>
      <color rgb="FF111B31"/>
      <color rgb="FFB171F9"/>
      <color rgb="FF1A74E0"/>
      <color rgb="FFA0D8F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3" tint="9.9948118533890809E-2"/>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3" tint="0.499984740745262"/>
          </font>
          <fill>
            <patternFill patternType="solid">
              <fgColor rgb="FFFFFFFF"/>
              <bgColor rgb="FF1F2F5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3" tint="9.9948118533890809E-2"/>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499984740745262"/>
          </font>
          <fill>
            <patternFill patternType="solid">
              <fgColor rgb="FFFFFFFF"/>
              <bgColor rgb="FF1F2F5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23073033302023E-2"/>
          <c:y val="6.1111111111111109E-2"/>
          <c:w val="0.9030348270686348"/>
          <c:h val="0.81045406824146982"/>
        </c:manualLayout>
      </c:layout>
      <c:areaChart>
        <c:grouping val="standard"/>
        <c:varyColors val="0"/>
        <c:ser>
          <c:idx val="2"/>
          <c:order val="2"/>
          <c:tx>
            <c:v>fill</c:v>
          </c:tx>
          <c:spPr>
            <a:gradFill>
              <a:gsLst>
                <a:gs pos="0">
                  <a:schemeClr val="accent1">
                    <a:lumMod val="5000"/>
                    <a:lumOff val="95000"/>
                    <a:alpha val="50000"/>
                  </a:schemeClr>
                </a:gs>
                <a:gs pos="100000">
                  <a:schemeClr val="accent1">
                    <a:lumMod val="45000"/>
                    <a:lumOff val="55000"/>
                    <a:alpha val="70000"/>
                  </a:schemeClr>
                </a:gs>
              </a:gsLst>
              <a:lin ang="5400000" scaled="1"/>
            </a:gradFill>
            <a:ln>
              <a:noFill/>
            </a:ln>
            <a:effectLst/>
          </c:spPr>
          <c:val>
            <c:numRef>
              <c:f>Processing!$B$2:$B$13</c:f>
              <c:numCache>
                <c:formatCode>General</c:formatCode>
                <c:ptCount val="12"/>
                <c:pt idx="0">
                  <c:v>500</c:v>
                </c:pt>
                <c:pt idx="1">
                  <c:v>400</c:v>
                </c:pt>
                <c:pt idx="2">
                  <c:v>500</c:v>
                </c:pt>
                <c:pt idx="3">
                  <c:v>450</c:v>
                </c:pt>
                <c:pt idx="4">
                  <c:v>700</c:v>
                </c:pt>
                <c:pt idx="5">
                  <c:v>600</c:v>
                </c:pt>
                <c:pt idx="6">
                  <c:v>800</c:v>
                </c:pt>
                <c:pt idx="7">
                  <c:v>700</c:v>
                </c:pt>
                <c:pt idx="8">
                  <c:v>800</c:v>
                </c:pt>
                <c:pt idx="9">
                  <c:v>1000</c:v>
                </c:pt>
                <c:pt idx="10">
                  <c:v>950</c:v>
                </c:pt>
                <c:pt idx="11">
                  <c:v>800</c:v>
                </c:pt>
              </c:numCache>
            </c:numRef>
          </c:val>
          <c:extLst>
            <c:ext xmlns:c16="http://schemas.microsoft.com/office/drawing/2014/chart" uri="{C3380CC4-5D6E-409C-BE32-E72D297353CC}">
              <c16:uniqueId val="{00000000-18CE-47BC-BB7F-6E93C6C9C80F}"/>
            </c:ext>
          </c:extLst>
        </c:ser>
        <c:dLbls>
          <c:showLegendKey val="0"/>
          <c:showVal val="0"/>
          <c:showCatName val="0"/>
          <c:showSerName val="0"/>
          <c:showPercent val="0"/>
          <c:showBubbleSize val="0"/>
        </c:dLbls>
        <c:axId val="838594624"/>
        <c:axId val="838613344"/>
      </c:areaChart>
      <c:lineChart>
        <c:grouping val="standard"/>
        <c:varyColors val="0"/>
        <c:ser>
          <c:idx val="0"/>
          <c:order val="0"/>
          <c:tx>
            <c:strRef>
              <c:f>Processing!$B$1</c:f>
              <c:strCache>
                <c:ptCount val="1"/>
                <c:pt idx="0">
                  <c:v>Budget</c:v>
                </c:pt>
              </c:strCache>
            </c:strRef>
          </c:tx>
          <c:spPr>
            <a:ln w="25400" cap="rnd">
              <a:solidFill>
                <a:srgbClr val="7AB3E6"/>
              </a:solidFill>
              <a:round/>
            </a:ln>
            <a:effectLst/>
          </c:spPr>
          <c:marker>
            <c:symbol val="circle"/>
            <c:size val="5"/>
            <c:spPr>
              <a:solidFill>
                <a:srgbClr val="7AB3E6"/>
              </a:solidFill>
              <a:ln w="9525">
                <a:solidFill>
                  <a:srgbClr val="7AB3E6"/>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500</c:v>
                </c:pt>
                <c:pt idx="1">
                  <c:v>400</c:v>
                </c:pt>
                <c:pt idx="2">
                  <c:v>500</c:v>
                </c:pt>
                <c:pt idx="3">
                  <c:v>450</c:v>
                </c:pt>
                <c:pt idx="4">
                  <c:v>700</c:v>
                </c:pt>
                <c:pt idx="5">
                  <c:v>600</c:v>
                </c:pt>
                <c:pt idx="6">
                  <c:v>800</c:v>
                </c:pt>
                <c:pt idx="7">
                  <c:v>700</c:v>
                </c:pt>
                <c:pt idx="8">
                  <c:v>800</c:v>
                </c:pt>
                <c:pt idx="9">
                  <c:v>1000</c:v>
                </c:pt>
                <c:pt idx="10">
                  <c:v>950</c:v>
                </c:pt>
                <c:pt idx="11">
                  <c:v>800</c:v>
                </c:pt>
              </c:numCache>
            </c:numRef>
          </c:val>
          <c:smooth val="0"/>
          <c:extLst>
            <c:ext xmlns:c16="http://schemas.microsoft.com/office/drawing/2014/chart" uri="{C3380CC4-5D6E-409C-BE32-E72D297353CC}">
              <c16:uniqueId val="{00000001-18CE-47BC-BB7F-6E93C6C9C80F}"/>
            </c:ext>
          </c:extLst>
        </c:ser>
        <c:ser>
          <c:idx val="1"/>
          <c:order val="1"/>
          <c:tx>
            <c:strRef>
              <c:f>Processing!$C$1</c:f>
              <c:strCache>
                <c:ptCount val="1"/>
                <c:pt idx="0">
                  <c:v>Expenses</c:v>
                </c:pt>
              </c:strCache>
            </c:strRef>
          </c:tx>
          <c:spPr>
            <a:ln w="25400" cap="rnd">
              <a:solidFill>
                <a:srgbClr val="1C80DA">
                  <a:alpha val="98000"/>
                </a:srgbClr>
              </a:solidFill>
              <a:round/>
            </a:ln>
            <a:effectLst>
              <a:outerShdw blurRad="50800" dist="38100" dir="5400000" algn="t" rotWithShape="0">
                <a:prstClr val="black">
                  <a:alpha val="30000"/>
                </a:prstClr>
              </a:outerShdw>
            </a:effectLst>
          </c:spPr>
          <c:marker>
            <c:symbol val="circle"/>
            <c:size val="5"/>
            <c:spPr>
              <a:solidFill>
                <a:srgbClr val="1C80DA"/>
              </a:solidFill>
              <a:ln w="9525">
                <a:solidFill>
                  <a:srgbClr val="1C80DA"/>
                </a:solidFill>
              </a:ln>
              <a:effectLst>
                <a:outerShdw blurRad="50800" dist="38100" dir="5400000" algn="t" rotWithShape="0">
                  <a:prstClr val="black">
                    <a:alpha val="30000"/>
                  </a:prstClr>
                </a:outerShdw>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400</c:v>
                </c:pt>
                <c:pt idx="1">
                  <c:v>500</c:v>
                </c:pt>
                <c:pt idx="2">
                  <c:v>350</c:v>
                </c:pt>
                <c:pt idx="3">
                  <c:v>550</c:v>
                </c:pt>
                <c:pt idx="4">
                  <c:v>600</c:v>
                </c:pt>
                <c:pt idx="5">
                  <c:v>800</c:v>
                </c:pt>
                <c:pt idx="6">
                  <c:v>950</c:v>
                </c:pt>
                <c:pt idx="7">
                  <c:v>900</c:v>
                </c:pt>
                <c:pt idx="8">
                  <c:v>700</c:v>
                </c:pt>
                <c:pt idx="9">
                  <c:v>800</c:v>
                </c:pt>
                <c:pt idx="10">
                  <c:v>600</c:v>
                </c:pt>
                <c:pt idx="11">
                  <c:v>500</c:v>
                </c:pt>
              </c:numCache>
            </c:numRef>
          </c:val>
          <c:smooth val="0"/>
          <c:extLst>
            <c:ext xmlns:c16="http://schemas.microsoft.com/office/drawing/2014/chart" uri="{C3380CC4-5D6E-409C-BE32-E72D297353CC}">
              <c16:uniqueId val="{00000002-18CE-47BC-BB7F-6E93C6C9C80F}"/>
            </c:ext>
          </c:extLst>
        </c:ser>
        <c:dLbls>
          <c:showLegendKey val="0"/>
          <c:showVal val="0"/>
          <c:showCatName val="0"/>
          <c:showSerName val="0"/>
          <c:showPercent val="0"/>
          <c:showBubbleSize val="0"/>
        </c:dLbls>
        <c:marker val="1"/>
        <c:smooth val="0"/>
        <c:axId val="838594624"/>
        <c:axId val="838613344"/>
      </c:lineChart>
      <c:scatterChart>
        <c:scatterStyle val="lineMarker"/>
        <c:varyColors val="0"/>
        <c:ser>
          <c:idx val="3"/>
          <c:order val="3"/>
          <c:tx>
            <c:strRef>
              <c:f>Processing!$E$1</c:f>
              <c:strCache>
                <c:ptCount val="1"/>
                <c:pt idx="0">
                  <c:v>Cursor</c:v>
                </c:pt>
              </c:strCache>
            </c:strRef>
          </c:tx>
          <c:spPr>
            <a:ln w="25400" cap="rnd">
              <a:noFill/>
              <a:round/>
            </a:ln>
            <a:effectLst>
              <a:outerShdw blurRad="50800" dist="38100" dir="8100000" algn="tr" rotWithShape="0">
                <a:prstClr val="black">
                  <a:alpha val="40000"/>
                </a:prstClr>
              </a:outerShdw>
            </a:effectLst>
          </c:spPr>
          <c:marker>
            <c:symbol val="circle"/>
            <c:size val="7"/>
            <c:spPr>
              <a:solidFill>
                <a:schemeClr val="bg1"/>
              </a:solidFill>
              <a:ln w="15875">
                <a:solidFill>
                  <a:schemeClr val="accent4"/>
                </a:solidFill>
              </a:ln>
              <a:effectLst>
                <a:outerShdw blurRad="50800" dist="38100" dir="8100000" algn="tr" rotWithShape="0">
                  <a:prstClr val="black">
                    <a:alpha val="40000"/>
                  </a:prstClr>
                </a:outerShdw>
              </a:effectLst>
            </c:spPr>
          </c:marker>
          <c:dLbls>
            <c:spPr>
              <a:solidFill>
                <a:schemeClr val="lt1"/>
              </a:solidFill>
              <a:ln>
                <a:noFill/>
              </a:ln>
              <a:effectLst>
                <a:outerShdw blurRad="50800" dist="38100" dir="8100000" algn="tr"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Processing!$E$2:$E$13</c:f>
                <c:numCache>
                  <c:formatCode>General</c:formatCode>
                  <c:ptCount val="12"/>
                  <c:pt idx="0">
                    <c:v>#N/A</c:v>
                  </c:pt>
                  <c:pt idx="1">
                    <c:v>#N/A</c:v>
                  </c:pt>
                  <c:pt idx="2">
                    <c:v>#N/A</c:v>
                  </c:pt>
                  <c:pt idx="3">
                    <c:v>550</c:v>
                  </c:pt>
                  <c:pt idx="4">
                    <c:v>#N/A</c:v>
                  </c:pt>
                  <c:pt idx="5">
                    <c:v>#N/A</c:v>
                  </c:pt>
                  <c:pt idx="6">
                    <c:v>#N/A</c:v>
                  </c:pt>
                  <c:pt idx="7">
                    <c:v>#N/A</c:v>
                  </c:pt>
                  <c:pt idx="8">
                    <c:v>#N/A</c:v>
                  </c:pt>
                  <c:pt idx="9">
                    <c:v>#N/A</c:v>
                  </c:pt>
                  <c:pt idx="10">
                    <c:v>#N/A</c:v>
                  </c:pt>
                  <c:pt idx="11">
                    <c:v>#N/A</c:v>
                  </c:pt>
                </c:numCache>
              </c:numRef>
            </c:minus>
            <c:spPr>
              <a:noFill/>
              <a:ln w="9525" cap="flat" cmpd="sng" algn="ctr">
                <a:solidFill>
                  <a:schemeClr val="tx1">
                    <a:lumMod val="65000"/>
                    <a:lumOff val="35000"/>
                  </a:schemeClr>
                </a:solidFill>
                <a:round/>
              </a:ln>
              <a:effectLst/>
            </c:spPr>
          </c:errBars>
          <c:yVal>
            <c:numRef>
              <c:f>Processing!$E$2:$E$13</c:f>
              <c:numCache>
                <c:formatCode>General</c:formatCode>
                <c:ptCount val="12"/>
                <c:pt idx="0">
                  <c:v>#N/A</c:v>
                </c:pt>
                <c:pt idx="1">
                  <c:v>#N/A</c:v>
                </c:pt>
                <c:pt idx="2">
                  <c:v>#N/A</c:v>
                </c:pt>
                <c:pt idx="3">
                  <c:v>550</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18CE-47BC-BB7F-6E93C6C9C80F}"/>
            </c:ext>
          </c:extLst>
        </c:ser>
        <c:dLbls>
          <c:showLegendKey val="0"/>
          <c:showVal val="0"/>
          <c:showCatName val="0"/>
          <c:showSerName val="0"/>
          <c:showPercent val="0"/>
          <c:showBubbleSize val="0"/>
        </c:dLbls>
        <c:axId val="838594624"/>
        <c:axId val="838613344"/>
      </c:scatterChart>
      <c:catAx>
        <c:axId val="8385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613344"/>
        <c:crosses val="autoZero"/>
        <c:auto val="1"/>
        <c:lblAlgn val="ctr"/>
        <c:lblOffset val="100"/>
        <c:noMultiLvlLbl val="0"/>
      </c:catAx>
      <c:valAx>
        <c:axId val="83861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59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Processing!$H$1</c:f>
              <c:strCache>
                <c:ptCount val="1"/>
                <c:pt idx="0">
                  <c:v>KPI</c:v>
                </c:pt>
              </c:strCache>
            </c:strRef>
          </c:tx>
          <c:spPr>
            <a:ln>
              <a:noFill/>
            </a:ln>
          </c:spPr>
          <c:dPt>
            <c:idx val="0"/>
            <c:bubble3D val="0"/>
            <c:spPr>
              <a:solidFill>
                <a:schemeClr val="tx2">
                  <a:lumMod val="75000"/>
                  <a:lumOff val="25000"/>
                </a:schemeClr>
              </a:solidFill>
              <a:ln w="19050">
                <a:noFill/>
              </a:ln>
              <a:effectLst/>
            </c:spPr>
            <c:extLst>
              <c:ext xmlns:c16="http://schemas.microsoft.com/office/drawing/2014/chart" uri="{C3380CC4-5D6E-409C-BE32-E72D297353CC}">
                <c16:uniqueId val="{00000007-CE0C-4B3E-8D53-B5821262F6C4}"/>
              </c:ext>
            </c:extLst>
          </c:dPt>
          <c:dPt>
            <c:idx val="1"/>
            <c:bubble3D val="0"/>
            <c:spPr>
              <a:solidFill>
                <a:srgbClr val="419BE9"/>
              </a:solidFill>
              <a:ln w="19050">
                <a:noFill/>
              </a:ln>
              <a:effectLst/>
            </c:spPr>
            <c:extLst>
              <c:ext xmlns:c16="http://schemas.microsoft.com/office/drawing/2014/chart" uri="{C3380CC4-5D6E-409C-BE32-E72D297353CC}">
                <c16:uniqueId val="{00000009-CE0C-4B3E-8D53-B5821262F6C4}"/>
              </c:ext>
            </c:extLst>
          </c:dPt>
          <c:dPt>
            <c:idx val="2"/>
            <c:bubble3D val="0"/>
            <c:spPr>
              <a:solidFill>
                <a:srgbClr val="B8E1F6"/>
              </a:solidFill>
              <a:ln>
                <a:noFill/>
              </a:ln>
            </c:spPr>
            <c:extLst>
              <c:ext xmlns:c16="http://schemas.microsoft.com/office/drawing/2014/chart" uri="{C3380CC4-5D6E-409C-BE32-E72D297353CC}">
                <c16:uniqueId val="{0000000B-CE0C-4B3E-8D53-B5821262F6C4}"/>
              </c:ext>
            </c:extLst>
          </c:dPt>
          <c:val>
            <c:numRef>
              <c:f>Processing!$I$2:$K$2</c:f>
              <c:numCache>
                <c:formatCode>0%</c:formatCode>
                <c:ptCount val="3"/>
                <c:pt idx="0">
                  <c:v>0</c:v>
                </c:pt>
                <c:pt idx="1">
                  <c:v>0.66666666666666663</c:v>
                </c:pt>
                <c:pt idx="2">
                  <c:v>0.33333333333333337</c:v>
                </c:pt>
              </c:numCache>
            </c:numRef>
          </c:val>
          <c:extLst>
            <c:ext xmlns:c16="http://schemas.microsoft.com/office/drawing/2014/chart" uri="{C3380CC4-5D6E-409C-BE32-E72D297353CC}">
              <c16:uniqueId val="{0000000A-CE0C-4B3E-8D53-B5821262F6C4}"/>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Processing!$H$7</c:f>
              <c:strCache>
                <c:ptCount val="1"/>
                <c:pt idx="0">
                  <c:v>Tasks Complet</c:v>
                </c:pt>
              </c:strCache>
            </c:strRef>
          </c:tx>
          <c:spPr>
            <a:gradFill>
              <a:gsLst>
                <a:gs pos="0">
                  <a:srgbClr val="1C80DA"/>
                </a:gs>
                <a:gs pos="100000">
                  <a:srgbClr val="419BE9"/>
                </a:gs>
              </a:gsLst>
              <a:lin ang="5400000" scaled="1"/>
            </a:gradFill>
            <a:ln w="101600">
              <a:gradFill>
                <a:gsLst>
                  <a:gs pos="0">
                    <a:srgbClr val="1C80DA"/>
                  </a:gs>
                  <a:gs pos="100000">
                    <a:srgbClr val="419BE9"/>
                  </a:gs>
                </a:gsLst>
                <a:lin ang="5400000" scaled="1"/>
              </a:gradFill>
            </a:ln>
            <a:effectLst/>
          </c:spPr>
          <c:invertIfNegative val="0"/>
          <c:cat>
            <c:strRef>
              <c:f>Processing!$G$8:$G$11</c:f>
              <c:strCache>
                <c:ptCount val="4"/>
                <c:pt idx="0">
                  <c:v>Manag1</c:v>
                </c:pt>
                <c:pt idx="1">
                  <c:v>Manag2</c:v>
                </c:pt>
                <c:pt idx="2">
                  <c:v>Manag3</c:v>
                </c:pt>
                <c:pt idx="3">
                  <c:v>Manag4</c:v>
                </c:pt>
              </c:strCache>
            </c:strRef>
          </c:cat>
          <c:val>
            <c:numRef>
              <c:f>Processing!$H$8:$H$11</c:f>
              <c:numCache>
                <c:formatCode>General</c:formatCode>
                <c:ptCount val="4"/>
                <c:pt idx="0">
                  <c:v>10</c:v>
                </c:pt>
                <c:pt idx="1">
                  <c:v>10</c:v>
                </c:pt>
                <c:pt idx="2">
                  <c:v>24</c:v>
                </c:pt>
                <c:pt idx="3">
                  <c:v>17</c:v>
                </c:pt>
              </c:numCache>
            </c:numRef>
          </c:val>
          <c:extLst>
            <c:ext xmlns:c16="http://schemas.microsoft.com/office/drawing/2014/chart" uri="{C3380CC4-5D6E-409C-BE32-E72D297353CC}">
              <c16:uniqueId val="{00000000-1ED8-4B53-B38E-16294DBF1A79}"/>
            </c:ext>
          </c:extLst>
        </c:ser>
        <c:ser>
          <c:idx val="1"/>
          <c:order val="1"/>
          <c:tx>
            <c:strRef>
              <c:f>Processing!$I$7</c:f>
              <c:strCache>
                <c:ptCount val="1"/>
                <c:pt idx="0">
                  <c:v>Cursor</c:v>
                </c:pt>
              </c:strCache>
            </c:strRef>
          </c:tx>
          <c:spPr>
            <a:gradFill>
              <a:gsLst>
                <a:gs pos="20000">
                  <a:srgbClr val="8AC3F2"/>
                </a:gs>
                <a:gs pos="100000">
                  <a:srgbClr val="419BE9"/>
                </a:gs>
              </a:gsLst>
              <a:lin ang="5400000" scaled="1"/>
            </a:gradFill>
            <a:ln w="101600">
              <a:gradFill>
                <a:gsLst>
                  <a:gs pos="20000">
                    <a:srgbClr val="8AC3F2"/>
                  </a:gs>
                  <a:gs pos="100000">
                    <a:srgbClr val="419BE9"/>
                  </a:gs>
                </a:gsLst>
                <a:lin ang="5400000" scaled="1"/>
              </a:gradFill>
            </a:ln>
            <a:effectLst/>
          </c:spPr>
          <c:invertIfNegative val="0"/>
          <c:val>
            <c:numRef>
              <c:f>Processing!$I$8:$I$11</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1ED8-4B53-B38E-16294DBF1A79}"/>
            </c:ext>
          </c:extLst>
        </c:ser>
        <c:dLbls>
          <c:showLegendKey val="0"/>
          <c:showVal val="0"/>
          <c:showCatName val="0"/>
          <c:showSerName val="0"/>
          <c:showPercent val="0"/>
          <c:showBubbleSize val="0"/>
        </c:dLbls>
        <c:gapWidth val="150"/>
        <c:overlap val="100"/>
        <c:axId val="943252048"/>
        <c:axId val="943252528"/>
      </c:barChart>
      <c:catAx>
        <c:axId val="943252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3252528"/>
        <c:crosses val="autoZero"/>
        <c:auto val="1"/>
        <c:lblAlgn val="ctr"/>
        <c:lblOffset val="100"/>
        <c:noMultiLvlLbl val="0"/>
      </c:catAx>
      <c:valAx>
        <c:axId val="943252528"/>
        <c:scaling>
          <c:orientation val="minMax"/>
        </c:scaling>
        <c:delete val="1"/>
        <c:axPos val="l"/>
        <c:numFmt formatCode="General" sourceLinked="1"/>
        <c:majorTickMark val="none"/>
        <c:minorTickMark val="none"/>
        <c:tickLblPos val="nextTo"/>
        <c:crossAx val="9432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780795658969596"/>
          <c:y val="6.9052102950408034E-2"/>
          <c:w val="0.54354035801704559"/>
          <c:h val="0.86189579409918393"/>
        </c:manualLayout>
      </c:layout>
      <c:barChart>
        <c:barDir val="bar"/>
        <c:grouping val="clustered"/>
        <c:varyColors val="0"/>
        <c:ser>
          <c:idx val="0"/>
          <c:order val="0"/>
          <c:spPr>
            <a:solidFill>
              <a:schemeClr val="accent1"/>
            </a:solidFill>
            <a:ln w="114300">
              <a:gradFill>
                <a:gsLst>
                  <a:gs pos="14000">
                    <a:srgbClr val="348EE1"/>
                  </a:gs>
                  <a:gs pos="100000">
                    <a:srgbClr val="C7E2F9"/>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Processing!$K$15:$K$18</c:f>
              <c:strCache>
                <c:ptCount val="4"/>
                <c:pt idx="0">
                  <c:v>Flow Efficiency</c:v>
                </c:pt>
                <c:pt idx="1">
                  <c:v>Commitment Reliability</c:v>
                </c:pt>
                <c:pt idx="2">
                  <c:v>On-Time Delivery Rate</c:v>
                </c:pt>
                <c:pt idx="3">
                  <c:v>Defect-Free Delivery Rate</c:v>
                </c:pt>
              </c:strCache>
            </c:strRef>
          </c:cat>
          <c:val>
            <c:numRef>
              <c:f>Processing!$L$15:$L$18</c:f>
              <c:numCache>
                <c:formatCode>0%</c:formatCode>
                <c:ptCount val="4"/>
                <c:pt idx="0">
                  <c:v>0.99</c:v>
                </c:pt>
                <c:pt idx="1">
                  <c:v>0.97</c:v>
                </c:pt>
                <c:pt idx="2">
                  <c:v>0.69</c:v>
                </c:pt>
                <c:pt idx="3">
                  <c:v>0.65</c:v>
                </c:pt>
              </c:numCache>
            </c:numRef>
          </c:val>
          <c:extLst>
            <c:ext xmlns:c16="http://schemas.microsoft.com/office/drawing/2014/chart" uri="{C3380CC4-5D6E-409C-BE32-E72D297353CC}">
              <c16:uniqueId val="{00000000-3328-47CC-A788-4CA72465DC3C}"/>
            </c:ext>
          </c:extLst>
        </c:ser>
        <c:dLbls>
          <c:showLegendKey val="0"/>
          <c:showVal val="0"/>
          <c:showCatName val="0"/>
          <c:showSerName val="0"/>
          <c:showPercent val="0"/>
          <c:showBubbleSize val="0"/>
        </c:dLbls>
        <c:gapWidth val="300"/>
        <c:axId val="943251568"/>
        <c:axId val="818874160"/>
      </c:barChart>
      <c:catAx>
        <c:axId val="94325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8874160"/>
        <c:crosses val="autoZero"/>
        <c:auto val="1"/>
        <c:lblAlgn val="ctr"/>
        <c:lblOffset val="100"/>
        <c:noMultiLvlLbl val="0"/>
      </c:catAx>
      <c:valAx>
        <c:axId val="818874160"/>
        <c:scaling>
          <c:orientation val="minMax"/>
          <c:max val="1.1000000000000001"/>
          <c:min val="0"/>
        </c:scaling>
        <c:delete val="1"/>
        <c:axPos val="t"/>
        <c:numFmt formatCode="0%" sourceLinked="1"/>
        <c:majorTickMark val="out"/>
        <c:minorTickMark val="none"/>
        <c:tickLblPos val="nextTo"/>
        <c:crossAx val="9432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419BE9"/>
              </a:solidFill>
              <a:ln w="19050">
                <a:noFill/>
              </a:ln>
              <a:effectLst/>
            </c:spPr>
            <c:extLst>
              <c:ext xmlns:c16="http://schemas.microsoft.com/office/drawing/2014/chart" uri="{C3380CC4-5D6E-409C-BE32-E72D297353CC}">
                <c16:uniqueId val="{00000001-D28C-4191-88FD-EB556F3AAF53}"/>
              </c:ext>
            </c:extLst>
          </c:dPt>
          <c:dPt>
            <c:idx val="1"/>
            <c:bubble3D val="0"/>
            <c:spPr>
              <a:solidFill>
                <a:srgbClr val="B8E1F6"/>
              </a:solidFill>
              <a:ln w="19050">
                <a:noFill/>
              </a:ln>
              <a:effectLst/>
            </c:spPr>
            <c:extLst>
              <c:ext xmlns:c16="http://schemas.microsoft.com/office/drawing/2014/chart" uri="{C3380CC4-5D6E-409C-BE32-E72D297353CC}">
                <c16:uniqueId val="{00000003-D28C-4191-88FD-EB556F3AAF53}"/>
              </c:ext>
            </c:extLst>
          </c:dPt>
          <c:val>
            <c:numRef>
              <c:f>Processing!$G$5:$H$5</c:f>
              <c:numCache>
                <c:formatCode>0%</c:formatCode>
                <c:ptCount val="2"/>
                <c:pt idx="0">
                  <c:v>0.91999999999999993</c:v>
                </c:pt>
                <c:pt idx="1">
                  <c:v>8.0000000000000071E-2</c:v>
                </c:pt>
              </c:numCache>
            </c:numRef>
          </c:val>
          <c:extLst>
            <c:ext xmlns:c16="http://schemas.microsoft.com/office/drawing/2014/chart" uri="{C3380CC4-5D6E-409C-BE32-E72D297353CC}">
              <c16:uniqueId val="{00000004-D28C-4191-88FD-EB556F3AAF5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chemeClr val="tx2">
                  <a:lumMod val="25000"/>
                  <a:lumOff val="75000"/>
                </a:schemeClr>
              </a:solidFill>
            </a:ln>
          </c:spPr>
          <c:dPt>
            <c:idx val="0"/>
            <c:bubble3D val="0"/>
            <c:spPr>
              <a:noFill/>
              <a:ln w="9525">
                <a:solidFill>
                  <a:schemeClr val="tx2">
                    <a:lumMod val="25000"/>
                    <a:lumOff val="75000"/>
                  </a:schemeClr>
                </a:solidFill>
              </a:ln>
              <a:effectLst/>
            </c:spPr>
            <c:extLst>
              <c:ext xmlns:c16="http://schemas.microsoft.com/office/drawing/2014/chart" uri="{C3380CC4-5D6E-409C-BE32-E72D297353CC}">
                <c16:uniqueId val="{00000001-3F1E-494D-B339-9056F95487D3}"/>
              </c:ext>
            </c:extLst>
          </c:dPt>
          <c:dPt>
            <c:idx val="1"/>
            <c:bubble3D val="0"/>
            <c:spPr>
              <a:noFill/>
              <a:ln w="9525">
                <a:solidFill>
                  <a:schemeClr val="tx2">
                    <a:lumMod val="25000"/>
                    <a:lumOff val="75000"/>
                  </a:schemeClr>
                </a:solidFill>
              </a:ln>
              <a:effectLst/>
            </c:spPr>
            <c:extLst>
              <c:ext xmlns:c16="http://schemas.microsoft.com/office/drawing/2014/chart" uri="{C3380CC4-5D6E-409C-BE32-E72D297353CC}">
                <c16:uniqueId val="{00000003-3F1E-494D-B339-9056F95487D3}"/>
              </c:ext>
            </c:extLst>
          </c:dPt>
          <c:dPt>
            <c:idx val="2"/>
            <c:bubble3D val="0"/>
            <c:spPr>
              <a:noFill/>
              <a:ln w="9525">
                <a:solidFill>
                  <a:schemeClr val="tx2">
                    <a:lumMod val="25000"/>
                    <a:lumOff val="75000"/>
                  </a:schemeClr>
                </a:solidFill>
              </a:ln>
              <a:effectLst/>
            </c:spPr>
            <c:extLst>
              <c:ext xmlns:c16="http://schemas.microsoft.com/office/drawing/2014/chart" uri="{C3380CC4-5D6E-409C-BE32-E72D297353CC}">
                <c16:uniqueId val="{00000005-3F1E-494D-B339-9056F95487D3}"/>
              </c:ext>
            </c:extLst>
          </c:dPt>
          <c:dPt>
            <c:idx val="3"/>
            <c:bubble3D val="0"/>
            <c:spPr>
              <a:noFill/>
              <a:ln w="9525">
                <a:solidFill>
                  <a:schemeClr val="tx2">
                    <a:lumMod val="25000"/>
                    <a:lumOff val="75000"/>
                  </a:schemeClr>
                </a:solidFill>
              </a:ln>
              <a:effectLst/>
            </c:spPr>
            <c:extLst>
              <c:ext xmlns:c16="http://schemas.microsoft.com/office/drawing/2014/chart" uri="{C3380CC4-5D6E-409C-BE32-E72D297353CC}">
                <c16:uniqueId val="{00000007-3F1E-494D-B339-9056F95487D3}"/>
              </c:ext>
            </c:extLst>
          </c:dPt>
          <c:dPt>
            <c:idx val="4"/>
            <c:bubble3D val="0"/>
            <c:spPr>
              <a:noFill/>
              <a:ln w="9525">
                <a:solidFill>
                  <a:schemeClr val="tx2">
                    <a:lumMod val="25000"/>
                    <a:lumOff val="75000"/>
                  </a:schemeClr>
                </a:solidFill>
              </a:ln>
              <a:effectLst/>
            </c:spPr>
            <c:extLst>
              <c:ext xmlns:c16="http://schemas.microsoft.com/office/drawing/2014/chart" uri="{C3380CC4-5D6E-409C-BE32-E72D297353CC}">
                <c16:uniqueId val="{00000009-3F1E-494D-B339-9056F95487D3}"/>
              </c:ext>
            </c:extLst>
          </c:dPt>
          <c:val>
            <c:numRef>
              <c:f>Processing!$P$2:$T$2</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A-3F1E-494D-B339-9056F95487D3}"/>
            </c:ext>
          </c:extLst>
        </c:ser>
        <c:ser>
          <c:idx val="1"/>
          <c:order val="1"/>
          <c:spPr>
            <a:noFill/>
            <a:ln w="9525">
              <a:solidFill>
                <a:schemeClr val="tx2">
                  <a:lumMod val="25000"/>
                  <a:lumOff val="75000"/>
                </a:schemeClr>
              </a:solidFill>
            </a:ln>
          </c:spPr>
          <c:dPt>
            <c:idx val="0"/>
            <c:bubble3D val="0"/>
            <c:spPr>
              <a:noFill/>
              <a:ln w="9525">
                <a:solidFill>
                  <a:schemeClr val="tx2">
                    <a:lumMod val="25000"/>
                    <a:lumOff val="75000"/>
                  </a:schemeClr>
                </a:solidFill>
              </a:ln>
              <a:effectLst/>
            </c:spPr>
            <c:extLst>
              <c:ext xmlns:c16="http://schemas.microsoft.com/office/drawing/2014/chart" uri="{C3380CC4-5D6E-409C-BE32-E72D297353CC}">
                <c16:uniqueId val="{0000000C-3F1E-494D-B339-9056F95487D3}"/>
              </c:ext>
            </c:extLst>
          </c:dPt>
          <c:dPt>
            <c:idx val="1"/>
            <c:bubble3D val="0"/>
            <c:spPr>
              <a:noFill/>
              <a:ln w="9525">
                <a:solidFill>
                  <a:schemeClr val="tx2">
                    <a:lumMod val="25000"/>
                    <a:lumOff val="75000"/>
                  </a:schemeClr>
                </a:solidFill>
              </a:ln>
              <a:effectLst/>
            </c:spPr>
            <c:extLst>
              <c:ext xmlns:c16="http://schemas.microsoft.com/office/drawing/2014/chart" uri="{C3380CC4-5D6E-409C-BE32-E72D297353CC}">
                <c16:uniqueId val="{0000000E-3F1E-494D-B339-9056F95487D3}"/>
              </c:ext>
            </c:extLst>
          </c:dPt>
          <c:dPt>
            <c:idx val="2"/>
            <c:bubble3D val="0"/>
            <c:spPr>
              <a:noFill/>
              <a:ln w="9525">
                <a:solidFill>
                  <a:schemeClr val="tx2">
                    <a:lumMod val="25000"/>
                    <a:lumOff val="75000"/>
                  </a:schemeClr>
                </a:solidFill>
              </a:ln>
              <a:effectLst/>
            </c:spPr>
            <c:extLst>
              <c:ext xmlns:c16="http://schemas.microsoft.com/office/drawing/2014/chart" uri="{C3380CC4-5D6E-409C-BE32-E72D297353CC}">
                <c16:uniqueId val="{00000010-3F1E-494D-B339-9056F95487D3}"/>
              </c:ext>
            </c:extLst>
          </c:dPt>
          <c:dPt>
            <c:idx val="3"/>
            <c:bubble3D val="0"/>
            <c:spPr>
              <a:noFill/>
              <a:ln w="9525">
                <a:solidFill>
                  <a:schemeClr val="tx2">
                    <a:lumMod val="25000"/>
                    <a:lumOff val="75000"/>
                  </a:schemeClr>
                </a:solidFill>
              </a:ln>
              <a:effectLst/>
            </c:spPr>
            <c:extLst>
              <c:ext xmlns:c16="http://schemas.microsoft.com/office/drawing/2014/chart" uri="{C3380CC4-5D6E-409C-BE32-E72D297353CC}">
                <c16:uniqueId val="{00000012-3F1E-494D-B339-9056F95487D3}"/>
              </c:ext>
            </c:extLst>
          </c:dPt>
          <c:dPt>
            <c:idx val="4"/>
            <c:bubble3D val="0"/>
            <c:spPr>
              <a:noFill/>
              <a:ln w="9525">
                <a:solidFill>
                  <a:schemeClr val="tx2">
                    <a:lumMod val="25000"/>
                    <a:lumOff val="75000"/>
                  </a:schemeClr>
                </a:solidFill>
              </a:ln>
              <a:effectLst/>
            </c:spPr>
            <c:extLst>
              <c:ext xmlns:c16="http://schemas.microsoft.com/office/drawing/2014/chart" uri="{C3380CC4-5D6E-409C-BE32-E72D297353CC}">
                <c16:uniqueId val="{00000014-3F1E-494D-B339-9056F95487D3}"/>
              </c:ext>
            </c:extLst>
          </c:dPt>
          <c:val>
            <c:numRef>
              <c:f>Processing!$P$3:$T$3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15-3F1E-494D-B339-9056F95487D3}"/>
            </c:ext>
          </c:extLst>
        </c:ser>
        <c:ser>
          <c:idx val="2"/>
          <c:order val="2"/>
          <c:spPr>
            <a:noFill/>
            <a:ln w="9525">
              <a:solidFill>
                <a:schemeClr val="tx2">
                  <a:lumMod val="25000"/>
                  <a:lumOff val="75000"/>
                </a:schemeClr>
              </a:solidFill>
            </a:ln>
          </c:spPr>
          <c:dPt>
            <c:idx val="0"/>
            <c:bubble3D val="0"/>
            <c:spPr>
              <a:noFill/>
              <a:ln w="9525">
                <a:solidFill>
                  <a:schemeClr val="tx2">
                    <a:lumMod val="25000"/>
                    <a:lumOff val="75000"/>
                  </a:schemeClr>
                </a:solidFill>
              </a:ln>
              <a:effectLst/>
            </c:spPr>
            <c:extLst>
              <c:ext xmlns:c16="http://schemas.microsoft.com/office/drawing/2014/chart" uri="{C3380CC4-5D6E-409C-BE32-E72D297353CC}">
                <c16:uniqueId val="{00000017-3F1E-494D-B339-9056F95487D3}"/>
              </c:ext>
            </c:extLst>
          </c:dPt>
          <c:dPt>
            <c:idx val="1"/>
            <c:bubble3D val="0"/>
            <c:spPr>
              <a:noFill/>
              <a:ln w="9525">
                <a:solidFill>
                  <a:schemeClr val="tx2">
                    <a:lumMod val="25000"/>
                    <a:lumOff val="75000"/>
                  </a:schemeClr>
                </a:solidFill>
              </a:ln>
              <a:effectLst/>
            </c:spPr>
            <c:extLst>
              <c:ext xmlns:c16="http://schemas.microsoft.com/office/drawing/2014/chart" uri="{C3380CC4-5D6E-409C-BE32-E72D297353CC}">
                <c16:uniqueId val="{00000019-3F1E-494D-B339-9056F95487D3}"/>
              </c:ext>
            </c:extLst>
          </c:dPt>
          <c:dPt>
            <c:idx val="2"/>
            <c:bubble3D val="0"/>
            <c:spPr>
              <a:noFill/>
              <a:ln w="9525">
                <a:solidFill>
                  <a:schemeClr val="tx2">
                    <a:lumMod val="25000"/>
                    <a:lumOff val="75000"/>
                  </a:schemeClr>
                </a:solidFill>
              </a:ln>
              <a:effectLst/>
            </c:spPr>
            <c:extLst>
              <c:ext xmlns:c16="http://schemas.microsoft.com/office/drawing/2014/chart" uri="{C3380CC4-5D6E-409C-BE32-E72D297353CC}">
                <c16:uniqueId val="{0000001B-3F1E-494D-B339-9056F95487D3}"/>
              </c:ext>
            </c:extLst>
          </c:dPt>
          <c:dPt>
            <c:idx val="3"/>
            <c:bubble3D val="0"/>
            <c:spPr>
              <a:noFill/>
              <a:ln w="9525">
                <a:solidFill>
                  <a:schemeClr val="tx2">
                    <a:lumMod val="25000"/>
                    <a:lumOff val="75000"/>
                  </a:schemeClr>
                </a:solidFill>
              </a:ln>
              <a:effectLst/>
            </c:spPr>
            <c:extLst>
              <c:ext xmlns:c16="http://schemas.microsoft.com/office/drawing/2014/chart" uri="{C3380CC4-5D6E-409C-BE32-E72D297353CC}">
                <c16:uniqueId val="{0000001D-3F1E-494D-B339-9056F95487D3}"/>
              </c:ext>
            </c:extLst>
          </c:dPt>
          <c:dPt>
            <c:idx val="4"/>
            <c:bubble3D val="0"/>
            <c:spPr>
              <a:noFill/>
              <a:ln w="9525">
                <a:solidFill>
                  <a:schemeClr val="tx2">
                    <a:lumMod val="25000"/>
                    <a:lumOff val="75000"/>
                  </a:schemeClr>
                </a:solidFill>
              </a:ln>
              <a:effectLst/>
            </c:spPr>
            <c:extLst>
              <c:ext xmlns:c16="http://schemas.microsoft.com/office/drawing/2014/chart" uri="{C3380CC4-5D6E-409C-BE32-E72D297353CC}">
                <c16:uniqueId val="{0000001F-3F1E-494D-B339-9056F95487D3}"/>
              </c:ext>
            </c:extLst>
          </c:dPt>
          <c:val>
            <c:numRef>
              <c:f>Processing!$P$4:$T$4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20-3F1E-494D-B339-9056F95487D3}"/>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Processing!$N$1</c:f>
              <c:strCache>
                <c:ptCount val="1"/>
                <c:pt idx="0">
                  <c:v>Score</c:v>
                </c:pt>
              </c:strCache>
            </c:strRef>
          </c:tx>
          <c:spPr>
            <a:gradFill flip="none" rotWithShape="1">
              <a:gsLst>
                <a:gs pos="70000">
                  <a:srgbClr val="FF00FF">
                    <a:alpha val="30000"/>
                  </a:srgbClr>
                </a:gs>
                <a:gs pos="40000">
                  <a:srgbClr val="0D95FF">
                    <a:alpha val="30000"/>
                  </a:srgbClr>
                </a:gs>
                <a:gs pos="3000">
                  <a:srgbClr val="0D95FF">
                    <a:alpha val="60000"/>
                  </a:srgbClr>
                </a:gs>
                <a:gs pos="100000">
                  <a:srgbClr val="FF00FF">
                    <a:alpha val="60000"/>
                  </a:srgbClr>
                </a:gs>
              </a:gsLst>
              <a:path path="circle">
                <a:fillToRect l="100000" b="100000"/>
              </a:path>
              <a:tileRect t="-100000" r="-100000"/>
            </a:gradFill>
            <a:ln w="6350">
              <a:noFill/>
            </a:ln>
            <a:effectLst/>
          </c:spPr>
          <c:cat>
            <c:strRef>
              <c:f>Processing!$M$2:$M$6</c:f>
              <c:strCache>
                <c:ptCount val="5"/>
                <c:pt idx="0">
                  <c:v>Engagement</c:v>
                </c:pt>
                <c:pt idx="1">
                  <c:v>Workload</c:v>
                </c:pt>
                <c:pt idx="2">
                  <c:v>Autonomy</c:v>
                </c:pt>
                <c:pt idx="3">
                  <c:v>Collaboration</c:v>
                </c:pt>
                <c:pt idx="4">
                  <c:v>Flow State</c:v>
                </c:pt>
              </c:strCache>
            </c:strRef>
          </c:cat>
          <c:val>
            <c:numRef>
              <c:f>Processing!$N$2:$N$6</c:f>
              <c:numCache>
                <c:formatCode>0.0</c:formatCode>
                <c:ptCount val="5"/>
                <c:pt idx="0">
                  <c:v>7</c:v>
                </c:pt>
                <c:pt idx="1">
                  <c:v>9</c:v>
                </c:pt>
                <c:pt idx="2">
                  <c:v>10</c:v>
                </c:pt>
                <c:pt idx="3">
                  <c:v>10</c:v>
                </c:pt>
                <c:pt idx="4">
                  <c:v>10</c:v>
                </c:pt>
              </c:numCache>
            </c:numRef>
          </c:val>
          <c:extLst>
            <c:ext xmlns:c16="http://schemas.microsoft.com/office/drawing/2014/chart" uri="{C3380CC4-5D6E-409C-BE32-E72D297353CC}">
              <c16:uniqueId val="{00000000-0DF9-4E16-AB97-E28E1CBE7C44}"/>
            </c:ext>
          </c:extLst>
        </c:ser>
        <c:dLbls>
          <c:showLegendKey val="0"/>
          <c:showVal val="0"/>
          <c:showCatName val="0"/>
          <c:showSerName val="0"/>
          <c:showPercent val="0"/>
          <c:showBubbleSize val="0"/>
        </c:dLbls>
        <c:axId val="813572816"/>
        <c:axId val="813580976"/>
      </c:radarChart>
      <c:radarChart>
        <c:radarStyle val="marker"/>
        <c:varyColors val="0"/>
        <c:ser>
          <c:idx val="1"/>
          <c:order val="1"/>
          <c:tx>
            <c:v>Markers</c:v>
          </c:tx>
          <c:spPr>
            <a:ln w="9525" cap="rnd">
              <a:noFill/>
              <a:round/>
            </a:ln>
            <a:effectLst/>
          </c:spPr>
          <c:marker>
            <c:symbol val="circle"/>
            <c:size val="5"/>
            <c:spPr>
              <a:solidFill>
                <a:schemeClr val="tx2">
                  <a:lumMod val="75000"/>
                  <a:lumOff val="25000"/>
                </a:schemeClr>
              </a:solidFill>
              <a:ln w="9525">
                <a:noFill/>
              </a:ln>
              <a:effectLst/>
            </c:spPr>
          </c:marker>
          <c:val>
            <c:numRef>
              <c:f>Processing!$N$2:$N$6</c:f>
              <c:numCache>
                <c:formatCode>0.0</c:formatCode>
                <c:ptCount val="5"/>
                <c:pt idx="0">
                  <c:v>7</c:v>
                </c:pt>
                <c:pt idx="1">
                  <c:v>9</c:v>
                </c:pt>
                <c:pt idx="2">
                  <c:v>10</c:v>
                </c:pt>
                <c:pt idx="3">
                  <c:v>10</c:v>
                </c:pt>
                <c:pt idx="4">
                  <c:v>10</c:v>
                </c:pt>
              </c:numCache>
            </c:numRef>
          </c:val>
          <c:extLst>
            <c:ext xmlns:c16="http://schemas.microsoft.com/office/drawing/2014/chart" uri="{C3380CC4-5D6E-409C-BE32-E72D297353CC}">
              <c16:uniqueId val="{00000001-0DF9-4E16-AB97-E28E1CBE7C44}"/>
            </c:ext>
          </c:extLst>
        </c:ser>
        <c:dLbls>
          <c:showLegendKey val="0"/>
          <c:showVal val="0"/>
          <c:showCatName val="0"/>
          <c:showSerName val="0"/>
          <c:showPercent val="0"/>
          <c:showBubbleSize val="0"/>
        </c:dLbls>
        <c:axId val="813572816"/>
        <c:axId val="813580976"/>
      </c:radarChart>
      <c:catAx>
        <c:axId val="81357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3580976"/>
        <c:crosses val="autoZero"/>
        <c:auto val="1"/>
        <c:lblAlgn val="ctr"/>
        <c:lblOffset val="100"/>
        <c:noMultiLvlLbl val="0"/>
      </c:catAx>
      <c:valAx>
        <c:axId val="813580976"/>
        <c:scaling>
          <c:orientation val="minMax"/>
        </c:scaling>
        <c:delete val="1"/>
        <c:axPos val="l"/>
        <c:numFmt formatCode="0.0" sourceLinked="1"/>
        <c:majorTickMark val="none"/>
        <c:minorTickMark val="none"/>
        <c:tickLblPos val="nextTo"/>
        <c:crossAx val="8135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A9D1F4"/>
            </a:solidFill>
          </c:spPr>
          <c:dPt>
            <c:idx val="0"/>
            <c:bubble3D val="0"/>
            <c:spPr>
              <a:solidFill>
                <a:srgbClr val="A9D1F4"/>
              </a:solidFill>
              <a:ln w="19050">
                <a:solidFill>
                  <a:schemeClr val="lt1"/>
                </a:solidFill>
              </a:ln>
              <a:effectLst/>
            </c:spPr>
            <c:extLst>
              <c:ext xmlns:c16="http://schemas.microsoft.com/office/drawing/2014/chart" uri="{C3380CC4-5D6E-409C-BE32-E72D297353CC}">
                <c16:uniqueId val="{00000001-B381-4AE9-8B42-0EB6AA01B883}"/>
              </c:ext>
            </c:extLst>
          </c:dPt>
          <c:dPt>
            <c:idx val="1"/>
            <c:bubble3D val="0"/>
            <c:spPr>
              <a:solidFill>
                <a:srgbClr val="6FB5EF"/>
              </a:solidFill>
              <a:ln w="19050">
                <a:solidFill>
                  <a:schemeClr val="lt1"/>
                </a:solidFill>
              </a:ln>
              <a:effectLst/>
            </c:spPr>
            <c:extLst>
              <c:ext xmlns:c16="http://schemas.microsoft.com/office/drawing/2014/chart" uri="{C3380CC4-5D6E-409C-BE32-E72D297353CC}">
                <c16:uniqueId val="{00000003-B381-4AE9-8B42-0EB6AA01B883}"/>
              </c:ext>
            </c:extLst>
          </c:dPt>
          <c:dPt>
            <c:idx val="2"/>
            <c:bubble3D val="0"/>
            <c:spPr>
              <a:solidFill>
                <a:srgbClr val="348EE0"/>
              </a:solidFill>
              <a:ln w="19050">
                <a:solidFill>
                  <a:schemeClr val="lt1"/>
                </a:solidFill>
              </a:ln>
              <a:effectLst/>
            </c:spPr>
            <c:extLst>
              <c:ext xmlns:c16="http://schemas.microsoft.com/office/drawing/2014/chart" uri="{C3380CC4-5D6E-409C-BE32-E72D297353CC}">
                <c16:uniqueId val="{00000005-B381-4AE9-8B42-0EB6AA01B88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Processing!$L$9:$L$11</c:f>
              <c:strCache>
                <c:ptCount val="3"/>
                <c:pt idx="0">
                  <c:v>Completed</c:v>
                </c:pt>
                <c:pt idx="1">
                  <c:v>Pending</c:v>
                </c:pt>
                <c:pt idx="2">
                  <c:v>Added</c:v>
                </c:pt>
              </c:strCache>
            </c:strRef>
          </c:cat>
          <c:val>
            <c:numRef>
              <c:f>Processing!$M$9:$M$11</c:f>
              <c:numCache>
                <c:formatCode>0%</c:formatCode>
                <c:ptCount val="3"/>
                <c:pt idx="0">
                  <c:v>0.21276595744680851</c:v>
                </c:pt>
                <c:pt idx="1">
                  <c:v>0.61702127659574468</c:v>
                </c:pt>
                <c:pt idx="2">
                  <c:v>0.1702127659574468</c:v>
                </c:pt>
              </c:numCache>
            </c:numRef>
          </c:val>
          <c:extLst>
            <c:ext xmlns:c16="http://schemas.microsoft.com/office/drawing/2014/chart" uri="{C3380CC4-5D6E-409C-BE32-E72D297353CC}">
              <c16:uniqueId val="{00000006-B381-4AE9-8B42-0EB6AA01B8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687335958005246"/>
          <c:y val="0.28506354075372481"/>
          <c:w val="0.41693924978127739"/>
          <c:h val="0.429871474886354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5.0925925925925923E-2"/>
          <c:w val="0.95270341207349063"/>
          <c:h val="0.91235093752238783"/>
        </c:manualLayout>
      </c:layout>
      <c:barChart>
        <c:barDir val="col"/>
        <c:grouping val="stacked"/>
        <c:varyColors val="0"/>
        <c:ser>
          <c:idx val="4"/>
          <c:order val="4"/>
          <c:tx>
            <c:strRef>
              <c:f>Processing!$F$16</c:f>
              <c:strCache>
                <c:ptCount val="1"/>
                <c:pt idx="0">
                  <c:v>Cursor</c:v>
                </c:pt>
              </c:strCache>
            </c:strRef>
          </c:tx>
          <c:spPr>
            <a:gradFill>
              <a:gsLst>
                <a:gs pos="0">
                  <a:schemeClr val="accent1">
                    <a:lumMod val="5000"/>
                    <a:lumOff val="95000"/>
                    <a:alpha val="0"/>
                  </a:schemeClr>
                </a:gs>
                <a:gs pos="100000">
                  <a:schemeClr val="tx2">
                    <a:lumMod val="10000"/>
                    <a:lumOff val="90000"/>
                  </a:schemeClr>
                </a:gs>
              </a:gsLst>
              <a:lin ang="5400000" scaled="1"/>
            </a:gradFill>
            <a:ln>
              <a:noFill/>
            </a:ln>
            <a:effectLst/>
          </c:spPr>
          <c:invertIfNegative val="0"/>
          <c:dLbls>
            <c:dLbl>
              <c:idx val="0"/>
              <c:tx>
                <c:rich>
                  <a:bodyPr/>
                  <a:lstStyle/>
                  <a:p>
                    <a:fld id="{A8F76E30-9C93-4B91-9CC5-CF160B1AF9F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312-4C63-933D-5FAA057C737B}"/>
                </c:ext>
              </c:extLst>
            </c:dLbl>
            <c:dLbl>
              <c:idx val="1"/>
              <c:tx>
                <c:rich>
                  <a:bodyPr/>
                  <a:lstStyle/>
                  <a:p>
                    <a:fld id="{151F9B0E-4877-49BA-971A-F0D0F98BAD0F}"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312-4C63-933D-5FAA057C737B}"/>
                </c:ext>
              </c:extLst>
            </c:dLbl>
            <c:dLbl>
              <c:idx val="2"/>
              <c:tx>
                <c:rich>
                  <a:bodyPr/>
                  <a:lstStyle/>
                  <a:p>
                    <a:fld id="{A7B9D849-2527-46F3-8EF2-AEE67C4CC05E}"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312-4C63-933D-5FAA057C737B}"/>
                </c:ext>
              </c:extLst>
            </c:dLbl>
            <c:dLbl>
              <c:idx val="3"/>
              <c:tx>
                <c:rich>
                  <a:bodyPr/>
                  <a:lstStyle/>
                  <a:p>
                    <a:fld id="{DA125C1C-342A-47A9-999E-9A4335648F7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312-4C63-933D-5FAA057C737B}"/>
                </c:ext>
              </c:extLst>
            </c:dLbl>
            <c:dLbl>
              <c:idx val="4"/>
              <c:tx>
                <c:rich>
                  <a:bodyPr/>
                  <a:lstStyle/>
                  <a:p>
                    <a:fld id="{752919C3-91EC-49EA-989E-85B6E5B15016}"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312-4C63-933D-5FAA057C737B}"/>
                </c:ext>
              </c:extLst>
            </c:dLbl>
            <c:dLbl>
              <c:idx val="5"/>
              <c:tx>
                <c:rich>
                  <a:bodyPr/>
                  <a:lstStyle/>
                  <a:p>
                    <a:fld id="{7EE01629-3A3F-4869-8383-EF3F73084814}"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312-4C63-933D-5FAA057C737B}"/>
                </c:ext>
              </c:extLst>
            </c:dLbl>
            <c:dLbl>
              <c:idx val="6"/>
              <c:tx>
                <c:rich>
                  <a:bodyPr/>
                  <a:lstStyle/>
                  <a:p>
                    <a:fld id="{EAEF9DB1-1F83-4CC1-B9C2-57D834053164}"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312-4C63-933D-5FAA057C737B}"/>
                </c:ext>
              </c:extLst>
            </c:dLbl>
            <c:dLbl>
              <c:idx val="7"/>
              <c:tx>
                <c:rich>
                  <a:bodyPr/>
                  <a:lstStyle/>
                  <a:p>
                    <a:fld id="{D56CB974-2A32-4328-A1F8-2520EC963820}"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312-4C63-933D-5FAA057C737B}"/>
                </c:ext>
              </c:extLst>
            </c:dLbl>
            <c:dLbl>
              <c:idx val="8"/>
              <c:tx>
                <c:rich>
                  <a:bodyPr/>
                  <a:lstStyle/>
                  <a:p>
                    <a:fld id="{19805C18-2B14-4B68-A218-2D6BCE0318C1}"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312-4C63-933D-5FAA057C737B}"/>
                </c:ext>
              </c:extLst>
            </c:dLbl>
            <c:dLbl>
              <c:idx val="9"/>
              <c:tx>
                <c:rich>
                  <a:bodyPr/>
                  <a:lstStyle/>
                  <a:p>
                    <a:fld id="{16B5C277-922A-4C6B-8E7F-0577D952169A}"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312-4C63-933D-5FAA057C737B}"/>
                </c:ext>
              </c:extLst>
            </c:dLbl>
            <c:dLbl>
              <c:idx val="10"/>
              <c:tx>
                <c:rich>
                  <a:bodyPr/>
                  <a:lstStyle/>
                  <a:p>
                    <a:fld id="{9F3E5F9E-3151-43CA-873E-427859AD7343}"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312-4C63-933D-5FAA057C737B}"/>
                </c:ext>
              </c:extLst>
            </c:dLbl>
            <c:dLbl>
              <c:idx val="11"/>
              <c:tx>
                <c:rich>
                  <a:bodyPr/>
                  <a:lstStyle/>
                  <a:p>
                    <a:fld id="{8D16CBD8-30C9-45CC-B455-00CC0F7378FF}" type="CELLRANGE">
                      <a:rPr lang="ru-RU"/>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D312-4C63-933D-5FAA057C73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Processing!$F$17:$F$28</c:f>
              <c:numCache>
                <c:formatCode>General</c:formatCode>
                <c:ptCount val="12"/>
                <c:pt idx="0">
                  <c:v>0</c:v>
                </c:pt>
                <c:pt idx="1">
                  <c:v>0</c:v>
                </c:pt>
                <c:pt idx="2">
                  <c:v>0</c:v>
                </c:pt>
                <c:pt idx="3">
                  <c:v>97.8</c:v>
                </c:pt>
                <c:pt idx="4">
                  <c:v>0</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Processing!$G$17:$G$28</c15:f>
                <c15:dlblRangeCache>
                  <c:ptCount val="12"/>
                  <c:pt idx="3">
                    <c:v>10</c:v>
                  </c:pt>
                </c15:dlblRangeCache>
              </c15:datalabelsRange>
            </c:ext>
            <c:ext xmlns:c16="http://schemas.microsoft.com/office/drawing/2014/chart" uri="{C3380CC4-5D6E-409C-BE32-E72D297353CC}">
              <c16:uniqueId val="{00000001-D312-4C63-933D-5FAA057C737B}"/>
            </c:ext>
          </c:extLst>
        </c:ser>
        <c:dLbls>
          <c:showLegendKey val="0"/>
          <c:showVal val="0"/>
          <c:showCatName val="0"/>
          <c:showSerName val="0"/>
          <c:showPercent val="0"/>
          <c:showBubbleSize val="0"/>
        </c:dLbls>
        <c:gapWidth val="50"/>
        <c:overlap val="100"/>
        <c:axId val="1627420847"/>
        <c:axId val="1627422767"/>
      </c:barChart>
      <c:barChart>
        <c:barDir val="col"/>
        <c:grouping val="stacked"/>
        <c:varyColors val="0"/>
        <c:ser>
          <c:idx val="0"/>
          <c:order val="0"/>
          <c:tx>
            <c:strRef>
              <c:f>Processing!$B$16</c:f>
              <c:strCache>
                <c:ptCount val="1"/>
                <c:pt idx="0">
                  <c:v>indent</c:v>
                </c:pt>
              </c:strCache>
            </c:strRef>
          </c:tx>
          <c:spPr>
            <a:no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59</c:v>
                </c:pt>
                <c:pt idx="1">
                  <c:v>53</c:v>
                </c:pt>
                <c:pt idx="2">
                  <c:v>47</c:v>
                </c:pt>
                <c:pt idx="3">
                  <c:v>39</c:v>
                </c:pt>
                <c:pt idx="4">
                  <c:v>27</c:v>
                </c:pt>
                <c:pt idx="5">
                  <c:v>18</c:v>
                </c:pt>
                <c:pt idx="6">
                  <c:v>10</c:v>
                </c:pt>
                <c:pt idx="7">
                  <c:v>5</c:v>
                </c:pt>
                <c:pt idx="8">
                  <c:v>3</c:v>
                </c:pt>
                <c:pt idx="9">
                  <c:v>2</c:v>
                </c:pt>
                <c:pt idx="10">
                  <c:v>0</c:v>
                </c:pt>
                <c:pt idx="11">
                  <c:v>0</c:v>
                </c:pt>
              </c:numCache>
            </c:numRef>
          </c:val>
          <c:extLst>
            <c:ext xmlns:c16="http://schemas.microsoft.com/office/drawing/2014/chart" uri="{C3380CC4-5D6E-409C-BE32-E72D297353CC}">
              <c16:uniqueId val="{00000000-F9A6-4387-8F30-DACEB6F23C7E}"/>
            </c:ext>
          </c:extLst>
        </c:ser>
        <c:ser>
          <c:idx val="1"/>
          <c:order val="1"/>
          <c:tx>
            <c:strRef>
              <c:f>Processing!$C$16</c:f>
              <c:strCache>
                <c:ptCount val="1"/>
                <c:pt idx="0">
                  <c:v>Added</c:v>
                </c:pt>
              </c:strCache>
            </c:strRef>
          </c:tx>
          <c:spPr>
            <a:solidFill>
              <a:srgbClr val="348EE0"/>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39</c:v>
                </c:pt>
                <c:pt idx="1">
                  <c:v>6</c:v>
                </c:pt>
                <c:pt idx="2">
                  <c:v>6</c:v>
                </c:pt>
                <c:pt idx="3">
                  <c:v>8</c:v>
                </c:pt>
                <c:pt idx="4">
                  <c:v>12</c:v>
                </c:pt>
                <c:pt idx="5">
                  <c:v>9</c:v>
                </c:pt>
                <c:pt idx="6">
                  <c:v>8</c:v>
                </c:pt>
                <c:pt idx="7">
                  <c:v>7</c:v>
                </c:pt>
                <c:pt idx="8">
                  <c:v>2</c:v>
                </c:pt>
                <c:pt idx="9">
                  <c:v>1</c:v>
                </c:pt>
                <c:pt idx="10">
                  <c:v>0</c:v>
                </c:pt>
                <c:pt idx="11">
                  <c:v>0</c:v>
                </c:pt>
              </c:numCache>
            </c:numRef>
          </c:val>
          <c:extLst>
            <c:ext xmlns:c16="http://schemas.microsoft.com/office/drawing/2014/chart" uri="{C3380CC4-5D6E-409C-BE32-E72D297353CC}">
              <c16:uniqueId val="{00000001-F9A6-4387-8F30-DACEB6F23C7E}"/>
            </c:ext>
          </c:extLst>
        </c:ser>
        <c:ser>
          <c:idx val="2"/>
          <c:order val="2"/>
          <c:tx>
            <c:strRef>
              <c:f>Processing!$D$16</c:f>
              <c:strCache>
                <c:ptCount val="1"/>
                <c:pt idx="0">
                  <c:v>Pending</c:v>
                </c:pt>
              </c:strCache>
            </c:strRef>
          </c:tx>
          <c:spPr>
            <a:solidFill>
              <a:srgbClr val="6FB5EF"/>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D312-4C63-933D-5FAA057C73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Processing!$D$17:$D$28</c:f>
              <c:numCache>
                <c:formatCode>General</c:formatCode>
                <c:ptCount val="12"/>
                <c:pt idx="0">
                  <c:v>0</c:v>
                </c:pt>
                <c:pt idx="1">
                  <c:v>32</c:v>
                </c:pt>
                <c:pt idx="2">
                  <c:v>33</c:v>
                </c:pt>
                <c:pt idx="3">
                  <c:v>29</c:v>
                </c:pt>
                <c:pt idx="4">
                  <c:v>16</c:v>
                </c:pt>
                <c:pt idx="5">
                  <c:v>11</c:v>
                </c:pt>
                <c:pt idx="6">
                  <c:v>5</c:v>
                </c:pt>
                <c:pt idx="7">
                  <c:v>3</c:v>
                </c:pt>
                <c:pt idx="8">
                  <c:v>5</c:v>
                </c:pt>
                <c:pt idx="9">
                  <c:v>3</c:v>
                </c:pt>
                <c:pt idx="10">
                  <c:v>1</c:v>
                </c:pt>
                <c:pt idx="11">
                  <c:v>0</c:v>
                </c:pt>
              </c:numCache>
            </c:numRef>
          </c:val>
          <c:extLst>
            <c:ext xmlns:c16="http://schemas.microsoft.com/office/drawing/2014/chart" uri="{C3380CC4-5D6E-409C-BE32-E72D297353CC}">
              <c16:uniqueId val="{00000002-F9A6-4387-8F30-DACEB6F23C7E}"/>
            </c:ext>
          </c:extLst>
        </c:ser>
        <c:ser>
          <c:idx val="3"/>
          <c:order val="3"/>
          <c:tx>
            <c:strRef>
              <c:f>Processing!$E$16</c:f>
              <c:strCache>
                <c:ptCount val="1"/>
                <c:pt idx="0">
                  <c:v>Completed</c:v>
                </c:pt>
              </c:strCache>
            </c:strRef>
          </c:tx>
          <c:spPr>
            <a:solidFill>
              <a:srgbClr val="A9D1F4"/>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Processing!$E$17:$E$28</c:f>
              <c:numCache>
                <c:formatCode>General</c:formatCode>
                <c:ptCount val="12"/>
                <c:pt idx="0">
                  <c:v>0</c:v>
                </c:pt>
                <c:pt idx="1">
                  <c:v>7</c:v>
                </c:pt>
                <c:pt idx="2">
                  <c:v>5</c:v>
                </c:pt>
                <c:pt idx="3">
                  <c:v>10</c:v>
                </c:pt>
                <c:pt idx="4">
                  <c:v>21</c:v>
                </c:pt>
                <c:pt idx="5">
                  <c:v>17</c:v>
                </c:pt>
                <c:pt idx="6">
                  <c:v>15</c:v>
                </c:pt>
                <c:pt idx="7">
                  <c:v>10</c:v>
                </c:pt>
                <c:pt idx="8">
                  <c:v>5</c:v>
                </c:pt>
                <c:pt idx="9">
                  <c:v>4</c:v>
                </c:pt>
                <c:pt idx="10">
                  <c:v>3</c:v>
                </c:pt>
                <c:pt idx="11">
                  <c:v>1</c:v>
                </c:pt>
              </c:numCache>
            </c:numRef>
          </c:val>
          <c:extLst>
            <c:ext xmlns:c16="http://schemas.microsoft.com/office/drawing/2014/chart" uri="{C3380CC4-5D6E-409C-BE32-E72D297353CC}">
              <c16:uniqueId val="{00000003-F9A6-4387-8F30-DACEB6F23C7E}"/>
            </c:ext>
          </c:extLst>
        </c:ser>
        <c:dLbls>
          <c:showLegendKey val="0"/>
          <c:showVal val="0"/>
          <c:showCatName val="0"/>
          <c:showSerName val="0"/>
          <c:showPercent val="0"/>
          <c:showBubbleSize val="0"/>
        </c:dLbls>
        <c:gapWidth val="50"/>
        <c:overlap val="100"/>
        <c:axId val="1490464271"/>
        <c:axId val="1781360335"/>
      </c:barChart>
      <c:catAx>
        <c:axId val="1627420847"/>
        <c:scaling>
          <c:orientation val="minMax"/>
        </c:scaling>
        <c:delete val="1"/>
        <c:axPos val="b"/>
        <c:numFmt formatCode="General" sourceLinked="1"/>
        <c:majorTickMark val="none"/>
        <c:minorTickMark val="none"/>
        <c:tickLblPos val="nextTo"/>
        <c:crossAx val="1627422767"/>
        <c:crosses val="autoZero"/>
        <c:auto val="1"/>
        <c:lblAlgn val="ctr"/>
        <c:lblOffset val="100"/>
        <c:noMultiLvlLbl val="0"/>
      </c:catAx>
      <c:valAx>
        <c:axId val="1627422767"/>
        <c:scaling>
          <c:orientation val="minMax"/>
          <c:min val="0"/>
        </c:scaling>
        <c:delete val="1"/>
        <c:axPos val="l"/>
        <c:numFmt formatCode="General" sourceLinked="1"/>
        <c:majorTickMark val="out"/>
        <c:minorTickMark val="none"/>
        <c:tickLblPos val="nextTo"/>
        <c:crossAx val="1627420847"/>
        <c:crosses val="autoZero"/>
        <c:crossBetween val="between"/>
      </c:valAx>
      <c:valAx>
        <c:axId val="1781360335"/>
        <c:scaling>
          <c:orientation val="minMax"/>
        </c:scaling>
        <c:delete val="1"/>
        <c:axPos val="r"/>
        <c:numFmt formatCode="General" sourceLinked="1"/>
        <c:majorTickMark val="out"/>
        <c:minorTickMark val="none"/>
        <c:tickLblPos val="nextTo"/>
        <c:crossAx val="1490464271"/>
        <c:crosses val="max"/>
        <c:crossBetween val="between"/>
      </c:valAx>
      <c:catAx>
        <c:axId val="1490464271"/>
        <c:scaling>
          <c:orientation val="minMax"/>
        </c:scaling>
        <c:delete val="1"/>
        <c:axPos val="b"/>
        <c:numFmt formatCode="General" sourceLinked="1"/>
        <c:majorTickMark val="out"/>
        <c:minorTickMark val="none"/>
        <c:tickLblPos val="nextTo"/>
        <c:crossAx val="1781360335"/>
        <c:crosses val="autoZero"/>
        <c:auto val="1"/>
        <c:lblAlgn val="ctr"/>
        <c:lblOffset val="100"/>
        <c:noMultiLvlLbl val="0"/>
      </c:catAx>
      <c:spPr>
        <a:noFill/>
        <a:ln>
          <a:noFill/>
        </a:ln>
        <a:effectLst/>
      </c:spPr>
    </c:plotArea>
    <c:legend>
      <c:legendPos val="r"/>
      <c:legendEntry>
        <c:idx val="0"/>
        <c:delete val="1"/>
      </c:legendEntry>
      <c:legendEntry>
        <c:idx val="4"/>
        <c:delete val="1"/>
      </c:legendEntry>
      <c:layout>
        <c:manualLayout>
          <c:xMode val="edge"/>
          <c:yMode val="edge"/>
          <c:x val="0.69222131431684242"/>
          <c:y val="1.1564078683712925E-3"/>
          <c:w val="0.2019586614173228"/>
          <c:h val="0.3177085138196356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23073033302023E-2"/>
          <c:y val="6.1111111111111109E-2"/>
          <c:w val="0.9030348270686348"/>
          <c:h val="0.81045406824146982"/>
        </c:manualLayout>
      </c:layout>
      <c:areaChart>
        <c:grouping val="standard"/>
        <c:varyColors val="0"/>
        <c:ser>
          <c:idx val="2"/>
          <c:order val="2"/>
          <c:tx>
            <c:v>fill</c:v>
          </c:tx>
          <c:spPr>
            <a:gradFill>
              <a:gsLst>
                <a:gs pos="0">
                  <a:srgbClr val="207BDE">
                    <a:alpha val="20000"/>
                  </a:srgbClr>
                </a:gs>
                <a:gs pos="100000">
                  <a:srgbClr val="207BDE">
                    <a:alpha val="0"/>
                  </a:srgbClr>
                </a:gs>
              </a:gsLst>
              <a:lin ang="5400000" scaled="1"/>
            </a:gradFill>
            <a:ln>
              <a:noFill/>
            </a:ln>
            <a:effectLst/>
          </c:spPr>
          <c:val>
            <c:numRef>
              <c:f>Processing!$B$2:$B$13</c:f>
              <c:numCache>
                <c:formatCode>General</c:formatCode>
                <c:ptCount val="12"/>
                <c:pt idx="0">
                  <c:v>500</c:v>
                </c:pt>
                <c:pt idx="1">
                  <c:v>400</c:v>
                </c:pt>
                <c:pt idx="2">
                  <c:v>500</c:v>
                </c:pt>
                <c:pt idx="3">
                  <c:v>450</c:v>
                </c:pt>
                <c:pt idx="4">
                  <c:v>700</c:v>
                </c:pt>
                <c:pt idx="5">
                  <c:v>600</c:v>
                </c:pt>
                <c:pt idx="6">
                  <c:v>800</c:v>
                </c:pt>
                <c:pt idx="7">
                  <c:v>700</c:v>
                </c:pt>
                <c:pt idx="8">
                  <c:v>800</c:v>
                </c:pt>
                <c:pt idx="9">
                  <c:v>1000</c:v>
                </c:pt>
                <c:pt idx="10">
                  <c:v>950</c:v>
                </c:pt>
                <c:pt idx="11">
                  <c:v>800</c:v>
                </c:pt>
              </c:numCache>
            </c:numRef>
          </c:val>
          <c:extLst>
            <c:ext xmlns:c16="http://schemas.microsoft.com/office/drawing/2014/chart" uri="{C3380CC4-5D6E-409C-BE32-E72D297353CC}">
              <c16:uniqueId val="{00000000-AC59-4FF2-A17F-1847BF4E8255}"/>
            </c:ext>
          </c:extLst>
        </c:ser>
        <c:dLbls>
          <c:showLegendKey val="0"/>
          <c:showVal val="0"/>
          <c:showCatName val="0"/>
          <c:showSerName val="0"/>
          <c:showPercent val="0"/>
          <c:showBubbleSize val="0"/>
        </c:dLbls>
        <c:axId val="838594624"/>
        <c:axId val="838613344"/>
      </c:areaChart>
      <c:lineChart>
        <c:grouping val="standard"/>
        <c:varyColors val="0"/>
        <c:ser>
          <c:idx val="0"/>
          <c:order val="0"/>
          <c:tx>
            <c:strRef>
              <c:f>Processing!$B$1</c:f>
              <c:strCache>
                <c:ptCount val="1"/>
                <c:pt idx="0">
                  <c:v>Budget</c:v>
                </c:pt>
              </c:strCache>
            </c:strRef>
          </c:tx>
          <c:spPr>
            <a:ln w="25400" cap="rnd">
              <a:solidFill>
                <a:srgbClr val="207BDE"/>
              </a:solidFill>
              <a:round/>
            </a:ln>
            <a:effectLst/>
          </c:spPr>
          <c:marker>
            <c:symbol val="circle"/>
            <c:size val="5"/>
            <c:spPr>
              <a:solidFill>
                <a:srgbClr val="207BDE"/>
              </a:solidFill>
              <a:ln w="9525">
                <a:no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500</c:v>
                </c:pt>
                <c:pt idx="1">
                  <c:v>400</c:v>
                </c:pt>
                <c:pt idx="2">
                  <c:v>500</c:v>
                </c:pt>
                <c:pt idx="3">
                  <c:v>450</c:v>
                </c:pt>
                <c:pt idx="4">
                  <c:v>700</c:v>
                </c:pt>
                <c:pt idx="5">
                  <c:v>600</c:v>
                </c:pt>
                <c:pt idx="6">
                  <c:v>800</c:v>
                </c:pt>
                <c:pt idx="7">
                  <c:v>700</c:v>
                </c:pt>
                <c:pt idx="8">
                  <c:v>800</c:v>
                </c:pt>
                <c:pt idx="9">
                  <c:v>1000</c:v>
                </c:pt>
                <c:pt idx="10">
                  <c:v>950</c:v>
                </c:pt>
                <c:pt idx="11">
                  <c:v>800</c:v>
                </c:pt>
              </c:numCache>
            </c:numRef>
          </c:val>
          <c:smooth val="0"/>
          <c:extLst>
            <c:ext xmlns:c16="http://schemas.microsoft.com/office/drawing/2014/chart" uri="{C3380CC4-5D6E-409C-BE32-E72D297353CC}">
              <c16:uniqueId val="{00000001-AC59-4FF2-A17F-1847BF4E8255}"/>
            </c:ext>
          </c:extLst>
        </c:ser>
        <c:ser>
          <c:idx val="1"/>
          <c:order val="1"/>
          <c:tx>
            <c:strRef>
              <c:f>Processing!$C$1</c:f>
              <c:strCache>
                <c:ptCount val="1"/>
                <c:pt idx="0">
                  <c:v>Expenses</c:v>
                </c:pt>
              </c:strCache>
            </c:strRef>
          </c:tx>
          <c:spPr>
            <a:ln w="25400" cap="rnd">
              <a:solidFill>
                <a:srgbClr val="B171F9">
                  <a:alpha val="98000"/>
                </a:srgbClr>
              </a:solidFill>
              <a:round/>
            </a:ln>
            <a:effectLst>
              <a:outerShdw blurRad="50800" dist="50800" dir="5400000" algn="t" rotWithShape="0">
                <a:prstClr val="black">
                  <a:alpha val="60000"/>
                </a:prstClr>
              </a:outerShdw>
            </a:effectLst>
          </c:spPr>
          <c:marker>
            <c:symbol val="circle"/>
            <c:size val="5"/>
            <c:spPr>
              <a:solidFill>
                <a:srgbClr val="B171F9"/>
              </a:solidFill>
              <a:ln w="9525">
                <a:noFill/>
              </a:ln>
              <a:effectLst>
                <a:outerShdw blurRad="50800" dist="50800" dir="5400000" algn="t" rotWithShape="0">
                  <a:prstClr val="black">
                    <a:alpha val="60000"/>
                  </a:prstClr>
                </a:outerShdw>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400</c:v>
                </c:pt>
                <c:pt idx="1">
                  <c:v>500</c:v>
                </c:pt>
                <c:pt idx="2">
                  <c:v>350</c:v>
                </c:pt>
                <c:pt idx="3">
                  <c:v>550</c:v>
                </c:pt>
                <c:pt idx="4">
                  <c:v>600</c:v>
                </c:pt>
                <c:pt idx="5">
                  <c:v>800</c:v>
                </c:pt>
                <c:pt idx="6">
                  <c:v>950</c:v>
                </c:pt>
                <c:pt idx="7">
                  <c:v>900</c:v>
                </c:pt>
                <c:pt idx="8">
                  <c:v>700</c:v>
                </c:pt>
                <c:pt idx="9">
                  <c:v>800</c:v>
                </c:pt>
                <c:pt idx="10">
                  <c:v>600</c:v>
                </c:pt>
                <c:pt idx="11">
                  <c:v>500</c:v>
                </c:pt>
              </c:numCache>
            </c:numRef>
          </c:val>
          <c:smooth val="0"/>
          <c:extLst>
            <c:ext xmlns:c16="http://schemas.microsoft.com/office/drawing/2014/chart" uri="{C3380CC4-5D6E-409C-BE32-E72D297353CC}">
              <c16:uniqueId val="{00000002-AC59-4FF2-A17F-1847BF4E8255}"/>
            </c:ext>
          </c:extLst>
        </c:ser>
        <c:dLbls>
          <c:showLegendKey val="0"/>
          <c:showVal val="0"/>
          <c:showCatName val="0"/>
          <c:showSerName val="0"/>
          <c:showPercent val="0"/>
          <c:showBubbleSize val="0"/>
        </c:dLbls>
        <c:marker val="1"/>
        <c:smooth val="0"/>
        <c:axId val="838594624"/>
        <c:axId val="838613344"/>
      </c:lineChart>
      <c:scatterChart>
        <c:scatterStyle val="lineMarker"/>
        <c:varyColors val="0"/>
        <c:ser>
          <c:idx val="3"/>
          <c:order val="3"/>
          <c:tx>
            <c:strRef>
              <c:f>Processing!$E$1</c:f>
              <c:strCache>
                <c:ptCount val="1"/>
                <c:pt idx="0">
                  <c:v>Cursor</c:v>
                </c:pt>
              </c:strCache>
            </c:strRef>
          </c:tx>
          <c:spPr>
            <a:ln w="25400" cap="rnd">
              <a:noFill/>
              <a:round/>
            </a:ln>
            <a:effectLst>
              <a:glow rad="139700">
                <a:srgbClr val="B171F9">
                  <a:alpha val="62000"/>
                </a:srgbClr>
              </a:glow>
              <a:outerShdw blurRad="50800" dist="38100" dir="5400000" algn="t" rotWithShape="0">
                <a:prstClr val="black">
                  <a:alpha val="40000"/>
                </a:prstClr>
              </a:outerShdw>
            </a:effectLst>
          </c:spPr>
          <c:marker>
            <c:symbol val="circle"/>
            <c:size val="5"/>
            <c:spPr>
              <a:solidFill>
                <a:schemeClr val="bg1"/>
              </a:solidFill>
              <a:ln w="15875">
                <a:noFill/>
              </a:ln>
              <a:effectLst>
                <a:glow rad="139700">
                  <a:srgbClr val="B171F9">
                    <a:alpha val="62000"/>
                  </a:srgbClr>
                </a:glow>
                <a:outerShdw blurRad="50800" dist="38100" dir="5400000" algn="t" rotWithShape="0">
                  <a:prstClr val="black">
                    <a:alpha val="40000"/>
                  </a:prstClr>
                </a:outerShdw>
              </a:effectLst>
            </c:spPr>
          </c:marker>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Processing!$E$2:$E$13</c:f>
                <c:numCache>
                  <c:formatCode>General</c:formatCode>
                  <c:ptCount val="12"/>
                  <c:pt idx="0">
                    <c:v>#N/A</c:v>
                  </c:pt>
                  <c:pt idx="1">
                    <c:v>#N/A</c:v>
                  </c:pt>
                  <c:pt idx="2">
                    <c:v>#N/A</c:v>
                  </c:pt>
                  <c:pt idx="3">
                    <c:v>550</c:v>
                  </c:pt>
                  <c:pt idx="4">
                    <c:v>#N/A</c:v>
                  </c:pt>
                  <c:pt idx="5">
                    <c:v>#N/A</c:v>
                  </c:pt>
                  <c:pt idx="6">
                    <c:v>#N/A</c:v>
                  </c:pt>
                  <c:pt idx="7">
                    <c:v>#N/A</c:v>
                  </c:pt>
                  <c:pt idx="8">
                    <c:v>#N/A</c:v>
                  </c:pt>
                  <c:pt idx="9">
                    <c:v>#N/A</c:v>
                  </c:pt>
                  <c:pt idx="10">
                    <c:v>#N/A</c:v>
                  </c:pt>
                  <c:pt idx="11">
                    <c:v>#N/A</c:v>
                  </c:pt>
                </c:numCache>
              </c:numRef>
            </c:minus>
            <c:spPr>
              <a:noFill/>
              <a:ln w="9525" cap="flat" cmpd="sng" algn="ctr">
                <a:gradFill>
                  <a:gsLst>
                    <a:gs pos="0">
                      <a:srgbClr val="C17EFF">
                        <a:alpha val="80000"/>
                      </a:srgbClr>
                    </a:gs>
                    <a:gs pos="61000">
                      <a:srgbClr val="C17EFF">
                        <a:alpha val="14000"/>
                      </a:srgbClr>
                    </a:gs>
                  </a:gsLst>
                  <a:lin ang="5400000" scaled="1"/>
                </a:gradFill>
                <a:round/>
              </a:ln>
              <a:effectLst/>
            </c:spPr>
          </c:errBars>
          <c:yVal>
            <c:numRef>
              <c:f>Processing!$E$2:$E$13</c:f>
              <c:numCache>
                <c:formatCode>General</c:formatCode>
                <c:ptCount val="12"/>
                <c:pt idx="0">
                  <c:v>#N/A</c:v>
                </c:pt>
                <c:pt idx="1">
                  <c:v>#N/A</c:v>
                </c:pt>
                <c:pt idx="2">
                  <c:v>#N/A</c:v>
                </c:pt>
                <c:pt idx="3">
                  <c:v>550</c:v>
                </c:pt>
                <c:pt idx="4">
                  <c:v>#N/A</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AC59-4FF2-A17F-1847BF4E8255}"/>
            </c:ext>
          </c:extLst>
        </c:ser>
        <c:dLbls>
          <c:showLegendKey val="0"/>
          <c:showVal val="0"/>
          <c:showCatName val="0"/>
          <c:showSerName val="0"/>
          <c:showPercent val="0"/>
          <c:showBubbleSize val="0"/>
        </c:dLbls>
        <c:axId val="838594624"/>
        <c:axId val="838613344"/>
      </c:scatterChart>
      <c:catAx>
        <c:axId val="8385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613344"/>
        <c:crosses val="autoZero"/>
        <c:auto val="1"/>
        <c:lblAlgn val="ctr"/>
        <c:lblOffset val="100"/>
        <c:noMultiLvlLbl val="0"/>
      </c:catAx>
      <c:valAx>
        <c:axId val="838613344"/>
        <c:scaling>
          <c:orientation val="minMax"/>
        </c:scaling>
        <c:delete val="0"/>
        <c:axPos val="l"/>
        <c:majorGridlines>
          <c:spPr>
            <a:ln w="9525" cap="flat" cmpd="sng" algn="ctr">
              <a:solidFill>
                <a:schemeClr val="tx2">
                  <a:lumMod val="90000"/>
                  <a:lumOff val="10000"/>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ru-RU"/>
          </a:p>
        </c:txPr>
        <c:crossAx val="83859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Processing!$H$1</c:f>
              <c:strCache>
                <c:ptCount val="1"/>
                <c:pt idx="0">
                  <c:v>KPI</c:v>
                </c:pt>
              </c:strCache>
            </c:strRef>
          </c:tx>
          <c:spPr>
            <a:ln>
              <a:noFill/>
            </a:ln>
          </c:spPr>
          <c:dPt>
            <c:idx val="0"/>
            <c:bubble3D val="0"/>
            <c:spPr>
              <a:solidFill>
                <a:srgbClr val="A0D8FC"/>
              </a:solidFill>
              <a:ln w="19050">
                <a:noFill/>
              </a:ln>
              <a:effectLst/>
            </c:spPr>
            <c:extLst>
              <c:ext xmlns:c16="http://schemas.microsoft.com/office/drawing/2014/chart" uri="{C3380CC4-5D6E-409C-BE32-E72D297353CC}">
                <c16:uniqueId val="{00000001-5445-4452-83F8-FB9521F13824}"/>
              </c:ext>
            </c:extLst>
          </c:dPt>
          <c:dPt>
            <c:idx val="1"/>
            <c:bubble3D val="0"/>
            <c:spPr>
              <a:gradFill>
                <a:gsLst>
                  <a:gs pos="0">
                    <a:srgbClr val="207BDE"/>
                  </a:gs>
                  <a:gs pos="100000">
                    <a:srgbClr val="1852D2"/>
                  </a:gs>
                </a:gsLst>
                <a:lin ang="5400000" scaled="1"/>
              </a:gradFill>
              <a:ln w="19050">
                <a:noFill/>
              </a:ln>
              <a:effectLst/>
            </c:spPr>
            <c:extLst>
              <c:ext xmlns:c16="http://schemas.microsoft.com/office/drawing/2014/chart" uri="{C3380CC4-5D6E-409C-BE32-E72D297353CC}">
                <c16:uniqueId val="{00000003-5445-4452-83F8-FB9521F13824}"/>
              </c:ext>
            </c:extLst>
          </c:dPt>
          <c:dPt>
            <c:idx val="2"/>
            <c:bubble3D val="0"/>
            <c:spPr>
              <a:gradFill>
                <a:gsLst>
                  <a:gs pos="0">
                    <a:srgbClr val="A0D8FC">
                      <a:alpha val="10000"/>
                    </a:srgbClr>
                  </a:gs>
                  <a:gs pos="65000">
                    <a:srgbClr val="A0D8FC">
                      <a:alpha val="25000"/>
                    </a:srgbClr>
                  </a:gs>
                  <a:gs pos="100000">
                    <a:srgbClr val="A0D8FC">
                      <a:alpha val="0"/>
                    </a:srgbClr>
                  </a:gs>
                </a:gsLst>
                <a:lin ang="5400000" scaled="1"/>
              </a:gradFill>
              <a:ln>
                <a:noFill/>
              </a:ln>
            </c:spPr>
            <c:extLst>
              <c:ext xmlns:c16="http://schemas.microsoft.com/office/drawing/2014/chart" uri="{C3380CC4-5D6E-409C-BE32-E72D297353CC}">
                <c16:uniqueId val="{00000005-5445-4452-83F8-FB9521F13824}"/>
              </c:ext>
            </c:extLst>
          </c:dPt>
          <c:val>
            <c:numRef>
              <c:f>Processing!$I$2:$K$2</c:f>
              <c:numCache>
                <c:formatCode>0%</c:formatCode>
                <c:ptCount val="3"/>
                <c:pt idx="0">
                  <c:v>0</c:v>
                </c:pt>
                <c:pt idx="1">
                  <c:v>0.66666666666666663</c:v>
                </c:pt>
                <c:pt idx="2">
                  <c:v>0.33333333333333337</c:v>
                </c:pt>
              </c:numCache>
            </c:numRef>
          </c:val>
          <c:extLst>
            <c:ext xmlns:c16="http://schemas.microsoft.com/office/drawing/2014/chart" uri="{C3380CC4-5D6E-409C-BE32-E72D297353CC}">
              <c16:uniqueId val="{00000006-5445-4452-83F8-FB9521F13824}"/>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Processing!$H$7</c:f>
              <c:strCache>
                <c:ptCount val="1"/>
                <c:pt idx="0">
                  <c:v>Tasks Complet</c:v>
                </c:pt>
              </c:strCache>
            </c:strRef>
          </c:tx>
          <c:spPr>
            <a:gradFill>
              <a:gsLst>
                <a:gs pos="0">
                  <a:srgbClr val="1C80DA"/>
                </a:gs>
                <a:gs pos="100000">
                  <a:srgbClr val="419BE9"/>
                </a:gs>
              </a:gsLst>
              <a:lin ang="5400000" scaled="1"/>
            </a:gradFill>
            <a:ln w="101600">
              <a:gradFill>
                <a:gsLst>
                  <a:gs pos="0">
                    <a:srgbClr val="1C80DA"/>
                  </a:gs>
                  <a:gs pos="100000">
                    <a:srgbClr val="419BE9"/>
                  </a:gs>
                </a:gsLst>
                <a:lin ang="5400000" scaled="1"/>
              </a:gradFill>
            </a:ln>
            <a:effectLst/>
          </c:spPr>
          <c:invertIfNegative val="0"/>
          <c:cat>
            <c:strRef>
              <c:f>Processing!$G$8:$G$11</c:f>
              <c:strCache>
                <c:ptCount val="4"/>
                <c:pt idx="0">
                  <c:v>Manag1</c:v>
                </c:pt>
                <c:pt idx="1">
                  <c:v>Manag2</c:v>
                </c:pt>
                <c:pt idx="2">
                  <c:v>Manag3</c:v>
                </c:pt>
                <c:pt idx="3">
                  <c:v>Manag4</c:v>
                </c:pt>
              </c:strCache>
            </c:strRef>
          </c:cat>
          <c:val>
            <c:numRef>
              <c:f>Processing!$H$8:$H$11</c:f>
              <c:numCache>
                <c:formatCode>General</c:formatCode>
                <c:ptCount val="4"/>
                <c:pt idx="0">
                  <c:v>10</c:v>
                </c:pt>
                <c:pt idx="1">
                  <c:v>10</c:v>
                </c:pt>
                <c:pt idx="2">
                  <c:v>24</c:v>
                </c:pt>
                <c:pt idx="3">
                  <c:v>17</c:v>
                </c:pt>
              </c:numCache>
            </c:numRef>
          </c:val>
          <c:extLst>
            <c:ext xmlns:c16="http://schemas.microsoft.com/office/drawing/2014/chart" uri="{C3380CC4-5D6E-409C-BE32-E72D297353CC}">
              <c16:uniqueId val="{00000000-CE99-419E-B5D9-AD0A7AE2AC88}"/>
            </c:ext>
          </c:extLst>
        </c:ser>
        <c:ser>
          <c:idx val="1"/>
          <c:order val="1"/>
          <c:tx>
            <c:strRef>
              <c:f>Processing!$I$7</c:f>
              <c:strCache>
                <c:ptCount val="1"/>
                <c:pt idx="0">
                  <c:v>Cursor</c:v>
                </c:pt>
              </c:strCache>
            </c:strRef>
          </c:tx>
          <c:spPr>
            <a:gradFill>
              <a:gsLst>
                <a:gs pos="20000">
                  <a:srgbClr val="8AC3F2"/>
                </a:gs>
                <a:gs pos="100000">
                  <a:srgbClr val="419BE9"/>
                </a:gs>
              </a:gsLst>
              <a:lin ang="5400000" scaled="1"/>
            </a:gradFill>
            <a:ln w="101600">
              <a:gradFill>
                <a:gsLst>
                  <a:gs pos="20000">
                    <a:srgbClr val="8AC3F2"/>
                  </a:gs>
                  <a:gs pos="100000">
                    <a:srgbClr val="419BE9"/>
                  </a:gs>
                </a:gsLst>
                <a:lin ang="5400000" scaled="1"/>
              </a:gradFill>
            </a:ln>
            <a:effectLst/>
          </c:spPr>
          <c:invertIfNegative val="0"/>
          <c:val>
            <c:numRef>
              <c:f>Processing!$I$8:$I$11</c:f>
              <c:numCache>
                <c:formatCode>General</c:formatCode>
                <c:ptCount val="4"/>
                <c:pt idx="0">
                  <c:v>10</c:v>
                </c:pt>
                <c:pt idx="1">
                  <c:v>0</c:v>
                </c:pt>
                <c:pt idx="2">
                  <c:v>0</c:v>
                </c:pt>
                <c:pt idx="3">
                  <c:v>0</c:v>
                </c:pt>
              </c:numCache>
            </c:numRef>
          </c:val>
          <c:extLst>
            <c:ext xmlns:c16="http://schemas.microsoft.com/office/drawing/2014/chart" uri="{C3380CC4-5D6E-409C-BE32-E72D297353CC}">
              <c16:uniqueId val="{00000001-CE99-419E-B5D9-AD0A7AE2AC88}"/>
            </c:ext>
          </c:extLst>
        </c:ser>
        <c:dLbls>
          <c:showLegendKey val="0"/>
          <c:showVal val="0"/>
          <c:showCatName val="0"/>
          <c:showSerName val="0"/>
          <c:showPercent val="0"/>
          <c:showBubbleSize val="0"/>
        </c:dLbls>
        <c:gapWidth val="180"/>
        <c:overlap val="100"/>
        <c:axId val="943252048"/>
        <c:axId val="943252528"/>
      </c:barChart>
      <c:catAx>
        <c:axId val="943252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3252528"/>
        <c:crosses val="autoZero"/>
        <c:auto val="1"/>
        <c:lblAlgn val="ctr"/>
        <c:lblOffset val="100"/>
        <c:noMultiLvlLbl val="0"/>
      </c:catAx>
      <c:valAx>
        <c:axId val="943252528"/>
        <c:scaling>
          <c:orientation val="minMax"/>
        </c:scaling>
        <c:delete val="1"/>
        <c:axPos val="l"/>
        <c:numFmt formatCode="General" sourceLinked="1"/>
        <c:majorTickMark val="none"/>
        <c:minorTickMark val="none"/>
        <c:tickLblPos val="nextTo"/>
        <c:crossAx val="9432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780795658969596"/>
          <c:y val="6.9052102950408034E-2"/>
          <c:w val="0.54354035801704559"/>
          <c:h val="0.86189579409918393"/>
        </c:manualLayout>
      </c:layout>
      <c:barChart>
        <c:barDir val="bar"/>
        <c:grouping val="clustered"/>
        <c:varyColors val="0"/>
        <c:ser>
          <c:idx val="0"/>
          <c:order val="0"/>
          <c:spPr>
            <a:solidFill>
              <a:schemeClr val="accent1"/>
            </a:solidFill>
            <a:ln w="114300">
              <a:gradFill>
                <a:gsLst>
                  <a:gs pos="14000">
                    <a:srgbClr val="348EE1"/>
                  </a:gs>
                  <a:gs pos="100000">
                    <a:srgbClr val="C7E2F9"/>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A0D8FC"/>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Processing!$K$15:$K$18</c:f>
              <c:strCache>
                <c:ptCount val="4"/>
                <c:pt idx="0">
                  <c:v>Flow Efficiency</c:v>
                </c:pt>
                <c:pt idx="1">
                  <c:v>Commitment Reliability</c:v>
                </c:pt>
                <c:pt idx="2">
                  <c:v>On-Time Delivery Rate</c:v>
                </c:pt>
                <c:pt idx="3">
                  <c:v>Defect-Free Delivery Rate</c:v>
                </c:pt>
              </c:strCache>
            </c:strRef>
          </c:cat>
          <c:val>
            <c:numRef>
              <c:f>Processing!$L$15:$L$18</c:f>
              <c:numCache>
                <c:formatCode>0%</c:formatCode>
                <c:ptCount val="4"/>
                <c:pt idx="0">
                  <c:v>0.99</c:v>
                </c:pt>
                <c:pt idx="1">
                  <c:v>0.97</c:v>
                </c:pt>
                <c:pt idx="2">
                  <c:v>0.69</c:v>
                </c:pt>
                <c:pt idx="3">
                  <c:v>0.65</c:v>
                </c:pt>
              </c:numCache>
            </c:numRef>
          </c:val>
          <c:extLst>
            <c:ext xmlns:c16="http://schemas.microsoft.com/office/drawing/2014/chart" uri="{C3380CC4-5D6E-409C-BE32-E72D297353CC}">
              <c16:uniqueId val="{00000000-374A-43D7-94B6-A69F53F70B3F}"/>
            </c:ext>
          </c:extLst>
        </c:ser>
        <c:dLbls>
          <c:showLegendKey val="0"/>
          <c:showVal val="0"/>
          <c:showCatName val="0"/>
          <c:showSerName val="0"/>
          <c:showPercent val="0"/>
          <c:showBubbleSize val="0"/>
        </c:dLbls>
        <c:gapWidth val="300"/>
        <c:axId val="943251568"/>
        <c:axId val="818874160"/>
      </c:barChart>
      <c:catAx>
        <c:axId val="94325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D5DAD"/>
                </a:solidFill>
                <a:latin typeface="+mn-lt"/>
                <a:ea typeface="+mn-ea"/>
                <a:cs typeface="+mn-cs"/>
              </a:defRPr>
            </a:pPr>
            <a:endParaRPr lang="ru-RU"/>
          </a:p>
        </c:txPr>
        <c:crossAx val="818874160"/>
        <c:crosses val="autoZero"/>
        <c:auto val="1"/>
        <c:lblAlgn val="ctr"/>
        <c:lblOffset val="100"/>
        <c:noMultiLvlLbl val="0"/>
      </c:catAx>
      <c:valAx>
        <c:axId val="818874160"/>
        <c:scaling>
          <c:orientation val="minMax"/>
          <c:max val="1.1000000000000001"/>
          <c:min val="0"/>
        </c:scaling>
        <c:delete val="1"/>
        <c:axPos val="t"/>
        <c:numFmt formatCode="0%" sourceLinked="1"/>
        <c:majorTickMark val="out"/>
        <c:minorTickMark val="none"/>
        <c:tickLblPos val="nextTo"/>
        <c:crossAx val="9432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207BDE"/>
                  </a:gs>
                  <a:gs pos="100000">
                    <a:srgbClr val="1852D2"/>
                  </a:gs>
                </a:gsLst>
                <a:lin ang="5400000" scaled="1"/>
              </a:gradFill>
              <a:ln w="19050">
                <a:noFill/>
              </a:ln>
              <a:effectLst/>
            </c:spPr>
            <c:extLst>
              <c:ext xmlns:c16="http://schemas.microsoft.com/office/drawing/2014/chart" uri="{C3380CC4-5D6E-409C-BE32-E72D297353CC}">
                <c16:uniqueId val="{00000001-12D0-42DF-A703-92A950607A4D}"/>
              </c:ext>
            </c:extLst>
          </c:dPt>
          <c:dPt>
            <c:idx val="1"/>
            <c:bubble3D val="0"/>
            <c:spPr>
              <a:gradFill>
                <a:gsLst>
                  <a:gs pos="0">
                    <a:srgbClr val="A0D8FC">
                      <a:alpha val="10000"/>
                    </a:srgbClr>
                  </a:gs>
                  <a:gs pos="65000">
                    <a:srgbClr val="A0D8FC">
                      <a:alpha val="25000"/>
                    </a:srgbClr>
                  </a:gs>
                  <a:gs pos="100000">
                    <a:srgbClr val="A0D8FC">
                      <a:alpha val="0"/>
                    </a:srgbClr>
                  </a:gs>
                </a:gsLst>
                <a:lin ang="5400000" scaled="1"/>
              </a:gradFill>
              <a:ln w="19050">
                <a:noFill/>
              </a:ln>
              <a:effectLst/>
            </c:spPr>
            <c:extLst>
              <c:ext xmlns:c16="http://schemas.microsoft.com/office/drawing/2014/chart" uri="{C3380CC4-5D6E-409C-BE32-E72D297353CC}">
                <c16:uniqueId val="{00000003-12D0-42DF-A703-92A950607A4D}"/>
              </c:ext>
            </c:extLst>
          </c:dPt>
          <c:val>
            <c:numRef>
              <c:f>Processing!$G$5:$H$5</c:f>
              <c:numCache>
                <c:formatCode>0%</c:formatCode>
                <c:ptCount val="2"/>
                <c:pt idx="0">
                  <c:v>0.91999999999999993</c:v>
                </c:pt>
                <c:pt idx="1">
                  <c:v>8.0000000000000071E-2</c:v>
                </c:pt>
              </c:numCache>
            </c:numRef>
          </c:val>
          <c:extLst>
            <c:ext xmlns:c16="http://schemas.microsoft.com/office/drawing/2014/chart" uri="{C3380CC4-5D6E-409C-BE32-E72D297353CC}">
              <c16:uniqueId val="{00000004-12D0-42DF-A703-92A950607A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3D5DAD">
                  <a:alpha val="50000"/>
                </a:srgbClr>
              </a:solidFill>
            </a:ln>
          </c:spPr>
          <c:dPt>
            <c:idx val="0"/>
            <c:bubble3D val="0"/>
            <c:spPr>
              <a:noFill/>
              <a:ln w="9525">
                <a:solidFill>
                  <a:srgbClr val="3D5DAD">
                    <a:alpha val="50000"/>
                  </a:srgbClr>
                </a:solidFill>
              </a:ln>
              <a:effectLst/>
            </c:spPr>
            <c:extLst>
              <c:ext xmlns:c16="http://schemas.microsoft.com/office/drawing/2014/chart" uri="{C3380CC4-5D6E-409C-BE32-E72D297353CC}">
                <c16:uniqueId val="{00000001-EE8D-45F8-9047-EA2129FCAF5B}"/>
              </c:ext>
            </c:extLst>
          </c:dPt>
          <c:dPt>
            <c:idx val="1"/>
            <c:bubble3D val="0"/>
            <c:spPr>
              <a:noFill/>
              <a:ln w="9525">
                <a:solidFill>
                  <a:srgbClr val="3D5DAD">
                    <a:alpha val="50000"/>
                  </a:srgbClr>
                </a:solidFill>
              </a:ln>
              <a:effectLst/>
            </c:spPr>
            <c:extLst>
              <c:ext xmlns:c16="http://schemas.microsoft.com/office/drawing/2014/chart" uri="{C3380CC4-5D6E-409C-BE32-E72D297353CC}">
                <c16:uniqueId val="{00000003-EE8D-45F8-9047-EA2129FCAF5B}"/>
              </c:ext>
            </c:extLst>
          </c:dPt>
          <c:dPt>
            <c:idx val="2"/>
            <c:bubble3D val="0"/>
            <c:spPr>
              <a:noFill/>
              <a:ln w="9525">
                <a:solidFill>
                  <a:srgbClr val="3D5DAD">
                    <a:alpha val="50000"/>
                  </a:srgbClr>
                </a:solidFill>
              </a:ln>
              <a:effectLst/>
            </c:spPr>
            <c:extLst>
              <c:ext xmlns:c16="http://schemas.microsoft.com/office/drawing/2014/chart" uri="{C3380CC4-5D6E-409C-BE32-E72D297353CC}">
                <c16:uniqueId val="{00000005-EE8D-45F8-9047-EA2129FCAF5B}"/>
              </c:ext>
            </c:extLst>
          </c:dPt>
          <c:dPt>
            <c:idx val="3"/>
            <c:bubble3D val="0"/>
            <c:spPr>
              <a:noFill/>
              <a:ln w="9525">
                <a:solidFill>
                  <a:srgbClr val="3D5DAD">
                    <a:alpha val="50000"/>
                  </a:srgbClr>
                </a:solidFill>
              </a:ln>
              <a:effectLst/>
            </c:spPr>
            <c:extLst>
              <c:ext xmlns:c16="http://schemas.microsoft.com/office/drawing/2014/chart" uri="{C3380CC4-5D6E-409C-BE32-E72D297353CC}">
                <c16:uniqueId val="{00000007-EE8D-45F8-9047-EA2129FCAF5B}"/>
              </c:ext>
            </c:extLst>
          </c:dPt>
          <c:dPt>
            <c:idx val="4"/>
            <c:bubble3D val="0"/>
            <c:spPr>
              <a:noFill/>
              <a:ln w="9525">
                <a:solidFill>
                  <a:srgbClr val="3D5DAD">
                    <a:alpha val="50000"/>
                  </a:srgbClr>
                </a:solidFill>
              </a:ln>
              <a:effectLst/>
            </c:spPr>
            <c:extLst>
              <c:ext xmlns:c16="http://schemas.microsoft.com/office/drawing/2014/chart" uri="{C3380CC4-5D6E-409C-BE32-E72D297353CC}">
                <c16:uniqueId val="{00000009-EE8D-45F8-9047-EA2129FCAF5B}"/>
              </c:ext>
            </c:extLst>
          </c:dPt>
          <c:val>
            <c:numRef>
              <c:f>Processing!$P$2:$T$2</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A-EE8D-45F8-9047-EA2129FCAF5B}"/>
            </c:ext>
          </c:extLst>
        </c:ser>
        <c:ser>
          <c:idx val="1"/>
          <c:order val="1"/>
          <c:spPr>
            <a:noFill/>
            <a:ln w="9525">
              <a:solidFill>
                <a:srgbClr val="3D5DAD">
                  <a:alpha val="50000"/>
                </a:srgbClr>
              </a:solidFill>
            </a:ln>
          </c:spPr>
          <c:dPt>
            <c:idx val="0"/>
            <c:bubble3D val="0"/>
            <c:spPr>
              <a:noFill/>
              <a:ln w="9525">
                <a:solidFill>
                  <a:srgbClr val="3D5DAD">
                    <a:alpha val="50000"/>
                  </a:srgbClr>
                </a:solidFill>
              </a:ln>
              <a:effectLst/>
            </c:spPr>
            <c:extLst>
              <c:ext xmlns:c16="http://schemas.microsoft.com/office/drawing/2014/chart" uri="{C3380CC4-5D6E-409C-BE32-E72D297353CC}">
                <c16:uniqueId val="{0000000C-EE8D-45F8-9047-EA2129FCAF5B}"/>
              </c:ext>
            </c:extLst>
          </c:dPt>
          <c:dPt>
            <c:idx val="1"/>
            <c:bubble3D val="0"/>
            <c:spPr>
              <a:noFill/>
              <a:ln w="9525">
                <a:solidFill>
                  <a:srgbClr val="3D5DAD">
                    <a:alpha val="50000"/>
                  </a:srgbClr>
                </a:solidFill>
              </a:ln>
              <a:effectLst/>
            </c:spPr>
            <c:extLst>
              <c:ext xmlns:c16="http://schemas.microsoft.com/office/drawing/2014/chart" uri="{C3380CC4-5D6E-409C-BE32-E72D297353CC}">
                <c16:uniqueId val="{0000000E-EE8D-45F8-9047-EA2129FCAF5B}"/>
              </c:ext>
            </c:extLst>
          </c:dPt>
          <c:dPt>
            <c:idx val="2"/>
            <c:bubble3D val="0"/>
            <c:spPr>
              <a:noFill/>
              <a:ln w="9525">
                <a:solidFill>
                  <a:srgbClr val="3D5DAD">
                    <a:alpha val="50000"/>
                  </a:srgbClr>
                </a:solidFill>
              </a:ln>
              <a:effectLst/>
            </c:spPr>
            <c:extLst>
              <c:ext xmlns:c16="http://schemas.microsoft.com/office/drawing/2014/chart" uri="{C3380CC4-5D6E-409C-BE32-E72D297353CC}">
                <c16:uniqueId val="{00000010-EE8D-45F8-9047-EA2129FCAF5B}"/>
              </c:ext>
            </c:extLst>
          </c:dPt>
          <c:dPt>
            <c:idx val="3"/>
            <c:bubble3D val="0"/>
            <c:spPr>
              <a:noFill/>
              <a:ln w="9525">
                <a:solidFill>
                  <a:srgbClr val="3D5DAD">
                    <a:alpha val="50000"/>
                  </a:srgbClr>
                </a:solidFill>
              </a:ln>
              <a:effectLst/>
            </c:spPr>
            <c:extLst>
              <c:ext xmlns:c16="http://schemas.microsoft.com/office/drawing/2014/chart" uri="{C3380CC4-5D6E-409C-BE32-E72D297353CC}">
                <c16:uniqueId val="{00000012-EE8D-45F8-9047-EA2129FCAF5B}"/>
              </c:ext>
            </c:extLst>
          </c:dPt>
          <c:dPt>
            <c:idx val="4"/>
            <c:bubble3D val="0"/>
            <c:spPr>
              <a:noFill/>
              <a:ln w="9525">
                <a:solidFill>
                  <a:srgbClr val="3D5DAD">
                    <a:alpha val="50000"/>
                  </a:srgbClr>
                </a:solidFill>
              </a:ln>
              <a:effectLst/>
            </c:spPr>
            <c:extLst>
              <c:ext xmlns:c16="http://schemas.microsoft.com/office/drawing/2014/chart" uri="{C3380CC4-5D6E-409C-BE32-E72D297353CC}">
                <c16:uniqueId val="{00000014-EE8D-45F8-9047-EA2129FCAF5B}"/>
              </c:ext>
            </c:extLst>
          </c:dPt>
          <c:val>
            <c:numRef>
              <c:f>Processing!$P$3:$T$3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15-EE8D-45F8-9047-EA2129FCAF5B}"/>
            </c:ext>
          </c:extLst>
        </c:ser>
        <c:ser>
          <c:idx val="2"/>
          <c:order val="2"/>
          <c:spPr>
            <a:noFill/>
            <a:ln w="9525">
              <a:solidFill>
                <a:srgbClr val="3D5DAD">
                  <a:alpha val="50000"/>
                </a:srgbClr>
              </a:solidFill>
            </a:ln>
          </c:spPr>
          <c:dPt>
            <c:idx val="0"/>
            <c:bubble3D val="0"/>
            <c:spPr>
              <a:noFill/>
              <a:ln w="9525">
                <a:solidFill>
                  <a:srgbClr val="3D5DAD">
                    <a:alpha val="50000"/>
                  </a:srgbClr>
                </a:solidFill>
              </a:ln>
              <a:effectLst/>
            </c:spPr>
            <c:extLst>
              <c:ext xmlns:c16="http://schemas.microsoft.com/office/drawing/2014/chart" uri="{C3380CC4-5D6E-409C-BE32-E72D297353CC}">
                <c16:uniqueId val="{00000017-EE8D-45F8-9047-EA2129FCAF5B}"/>
              </c:ext>
            </c:extLst>
          </c:dPt>
          <c:dPt>
            <c:idx val="1"/>
            <c:bubble3D val="0"/>
            <c:spPr>
              <a:noFill/>
              <a:ln w="9525">
                <a:solidFill>
                  <a:srgbClr val="3D5DAD">
                    <a:alpha val="50000"/>
                  </a:srgbClr>
                </a:solidFill>
              </a:ln>
              <a:effectLst/>
            </c:spPr>
            <c:extLst>
              <c:ext xmlns:c16="http://schemas.microsoft.com/office/drawing/2014/chart" uri="{C3380CC4-5D6E-409C-BE32-E72D297353CC}">
                <c16:uniqueId val="{00000019-EE8D-45F8-9047-EA2129FCAF5B}"/>
              </c:ext>
            </c:extLst>
          </c:dPt>
          <c:dPt>
            <c:idx val="2"/>
            <c:bubble3D val="0"/>
            <c:spPr>
              <a:noFill/>
              <a:ln w="9525">
                <a:solidFill>
                  <a:srgbClr val="3D5DAD">
                    <a:alpha val="50000"/>
                  </a:srgbClr>
                </a:solidFill>
              </a:ln>
              <a:effectLst/>
            </c:spPr>
            <c:extLst>
              <c:ext xmlns:c16="http://schemas.microsoft.com/office/drawing/2014/chart" uri="{C3380CC4-5D6E-409C-BE32-E72D297353CC}">
                <c16:uniqueId val="{0000001B-EE8D-45F8-9047-EA2129FCAF5B}"/>
              </c:ext>
            </c:extLst>
          </c:dPt>
          <c:dPt>
            <c:idx val="3"/>
            <c:bubble3D val="0"/>
            <c:spPr>
              <a:noFill/>
              <a:ln w="9525">
                <a:solidFill>
                  <a:srgbClr val="3D5DAD">
                    <a:alpha val="50000"/>
                  </a:srgbClr>
                </a:solidFill>
              </a:ln>
              <a:effectLst/>
            </c:spPr>
            <c:extLst>
              <c:ext xmlns:c16="http://schemas.microsoft.com/office/drawing/2014/chart" uri="{C3380CC4-5D6E-409C-BE32-E72D297353CC}">
                <c16:uniqueId val="{0000001D-EE8D-45F8-9047-EA2129FCAF5B}"/>
              </c:ext>
            </c:extLst>
          </c:dPt>
          <c:dPt>
            <c:idx val="4"/>
            <c:bubble3D val="0"/>
            <c:spPr>
              <a:noFill/>
              <a:ln w="9525">
                <a:solidFill>
                  <a:srgbClr val="3D5DAD">
                    <a:alpha val="50000"/>
                  </a:srgbClr>
                </a:solidFill>
              </a:ln>
              <a:effectLst/>
            </c:spPr>
            <c:extLst>
              <c:ext xmlns:c16="http://schemas.microsoft.com/office/drawing/2014/chart" uri="{C3380CC4-5D6E-409C-BE32-E72D297353CC}">
                <c16:uniqueId val="{0000001F-EE8D-45F8-9047-EA2129FCAF5B}"/>
              </c:ext>
            </c:extLst>
          </c:dPt>
          <c:val>
            <c:numRef>
              <c:f>Processing!$P$4:$T$4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20-EE8D-45F8-9047-EA2129FCAF5B}"/>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Processing!$N$1</c:f>
              <c:strCache>
                <c:ptCount val="1"/>
                <c:pt idx="0">
                  <c:v>Score</c:v>
                </c:pt>
              </c:strCache>
            </c:strRef>
          </c:tx>
          <c:spPr>
            <a:gradFill>
              <a:gsLst>
                <a:gs pos="71000">
                  <a:srgbClr val="FF00FF">
                    <a:alpha val="50000"/>
                  </a:srgbClr>
                </a:gs>
                <a:gs pos="44000">
                  <a:srgbClr val="0D95FF">
                    <a:alpha val="50000"/>
                  </a:srgbClr>
                </a:gs>
                <a:gs pos="3000">
                  <a:srgbClr val="0D95FF">
                    <a:alpha val="60000"/>
                  </a:srgbClr>
                </a:gs>
                <a:gs pos="100000">
                  <a:srgbClr val="FF00FF">
                    <a:alpha val="60000"/>
                  </a:srgbClr>
                </a:gs>
              </a:gsLst>
              <a:path path="circle">
                <a:fillToRect l="100000" b="100000"/>
              </a:path>
            </a:gradFill>
            <a:ln w="6350">
              <a:noFill/>
            </a:ln>
            <a:effectLst/>
          </c:spPr>
          <c:cat>
            <c:strRef>
              <c:f>Processing!$M$2:$M$6</c:f>
              <c:strCache>
                <c:ptCount val="5"/>
                <c:pt idx="0">
                  <c:v>Engagement</c:v>
                </c:pt>
                <c:pt idx="1">
                  <c:v>Workload</c:v>
                </c:pt>
                <c:pt idx="2">
                  <c:v>Autonomy</c:v>
                </c:pt>
                <c:pt idx="3">
                  <c:v>Collaboration</c:v>
                </c:pt>
                <c:pt idx="4">
                  <c:v>Flow State</c:v>
                </c:pt>
              </c:strCache>
            </c:strRef>
          </c:cat>
          <c:val>
            <c:numRef>
              <c:f>Processing!$N$2:$N$6</c:f>
              <c:numCache>
                <c:formatCode>0.0</c:formatCode>
                <c:ptCount val="5"/>
                <c:pt idx="0">
                  <c:v>7</c:v>
                </c:pt>
                <c:pt idx="1">
                  <c:v>9</c:v>
                </c:pt>
                <c:pt idx="2">
                  <c:v>10</c:v>
                </c:pt>
                <c:pt idx="3">
                  <c:v>10</c:v>
                </c:pt>
                <c:pt idx="4">
                  <c:v>10</c:v>
                </c:pt>
              </c:numCache>
            </c:numRef>
          </c:val>
          <c:extLst>
            <c:ext xmlns:c16="http://schemas.microsoft.com/office/drawing/2014/chart" uri="{C3380CC4-5D6E-409C-BE32-E72D297353CC}">
              <c16:uniqueId val="{00000000-F68F-4375-829B-E896CD7B97C4}"/>
            </c:ext>
          </c:extLst>
        </c:ser>
        <c:dLbls>
          <c:showLegendKey val="0"/>
          <c:showVal val="0"/>
          <c:showCatName val="0"/>
          <c:showSerName val="0"/>
          <c:showPercent val="0"/>
          <c:showBubbleSize val="0"/>
        </c:dLbls>
        <c:axId val="813572816"/>
        <c:axId val="813580976"/>
      </c:radarChart>
      <c:radarChart>
        <c:radarStyle val="marker"/>
        <c:varyColors val="0"/>
        <c:ser>
          <c:idx val="1"/>
          <c:order val="1"/>
          <c:tx>
            <c:v>Markers</c:v>
          </c:tx>
          <c:spPr>
            <a:ln w="9525" cap="rnd">
              <a:noFill/>
              <a:round/>
            </a:ln>
            <a:effectLst/>
          </c:spPr>
          <c:marker>
            <c:symbol val="circle"/>
            <c:size val="5"/>
            <c:spPr>
              <a:solidFill>
                <a:srgbClr val="207BDE"/>
              </a:solidFill>
              <a:ln w="9525">
                <a:noFill/>
              </a:ln>
              <a:effectLst/>
            </c:spPr>
          </c:marker>
          <c:val>
            <c:numRef>
              <c:f>Processing!$N$2:$N$6</c:f>
              <c:numCache>
                <c:formatCode>0.0</c:formatCode>
                <c:ptCount val="5"/>
                <c:pt idx="0">
                  <c:v>7</c:v>
                </c:pt>
                <c:pt idx="1">
                  <c:v>9</c:v>
                </c:pt>
                <c:pt idx="2">
                  <c:v>10</c:v>
                </c:pt>
                <c:pt idx="3">
                  <c:v>10</c:v>
                </c:pt>
                <c:pt idx="4">
                  <c:v>10</c:v>
                </c:pt>
              </c:numCache>
            </c:numRef>
          </c:val>
          <c:extLst>
            <c:ext xmlns:c16="http://schemas.microsoft.com/office/drawing/2014/chart" uri="{C3380CC4-5D6E-409C-BE32-E72D297353CC}">
              <c16:uniqueId val="{00000001-F68F-4375-829B-E896CD7B97C4}"/>
            </c:ext>
          </c:extLst>
        </c:ser>
        <c:dLbls>
          <c:showLegendKey val="0"/>
          <c:showVal val="0"/>
          <c:showCatName val="0"/>
          <c:showSerName val="0"/>
          <c:showPercent val="0"/>
          <c:showBubbleSize val="0"/>
        </c:dLbls>
        <c:axId val="813572816"/>
        <c:axId val="813580976"/>
      </c:radarChart>
      <c:catAx>
        <c:axId val="81357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D5DAD"/>
                </a:solidFill>
                <a:latin typeface="+mn-lt"/>
                <a:ea typeface="+mn-ea"/>
                <a:cs typeface="+mn-cs"/>
              </a:defRPr>
            </a:pPr>
            <a:endParaRPr lang="ru-RU"/>
          </a:p>
        </c:txPr>
        <c:crossAx val="813580976"/>
        <c:crosses val="autoZero"/>
        <c:auto val="1"/>
        <c:lblAlgn val="ctr"/>
        <c:lblOffset val="100"/>
        <c:noMultiLvlLbl val="0"/>
      </c:catAx>
      <c:valAx>
        <c:axId val="813580976"/>
        <c:scaling>
          <c:orientation val="minMax"/>
        </c:scaling>
        <c:delete val="1"/>
        <c:axPos val="l"/>
        <c:numFmt formatCode="0.0" sourceLinked="1"/>
        <c:majorTickMark val="none"/>
        <c:minorTickMark val="none"/>
        <c:tickLblPos val="nextTo"/>
        <c:crossAx val="8135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A9D1F4"/>
            </a:solidFill>
            <a:ln>
              <a:noFill/>
            </a:ln>
          </c:spPr>
          <c:dPt>
            <c:idx val="0"/>
            <c:bubble3D val="0"/>
            <c:spPr>
              <a:solidFill>
                <a:srgbClr val="A0D8FC"/>
              </a:solidFill>
              <a:ln w="19050">
                <a:noFill/>
              </a:ln>
              <a:effectLst/>
            </c:spPr>
            <c:extLst>
              <c:ext xmlns:c16="http://schemas.microsoft.com/office/drawing/2014/chart" uri="{C3380CC4-5D6E-409C-BE32-E72D297353CC}">
                <c16:uniqueId val="{00000001-C3DD-43CE-B82F-397709B8A8C7}"/>
              </c:ext>
            </c:extLst>
          </c:dPt>
          <c:dPt>
            <c:idx val="1"/>
            <c:bubble3D val="0"/>
            <c:spPr>
              <a:solidFill>
                <a:srgbClr val="1A74E0"/>
              </a:solidFill>
              <a:ln w="19050">
                <a:noFill/>
              </a:ln>
              <a:effectLst/>
            </c:spPr>
            <c:extLst>
              <c:ext xmlns:c16="http://schemas.microsoft.com/office/drawing/2014/chart" uri="{C3380CC4-5D6E-409C-BE32-E72D297353CC}">
                <c16:uniqueId val="{00000003-C3DD-43CE-B82F-397709B8A8C7}"/>
              </c:ext>
            </c:extLst>
          </c:dPt>
          <c:dPt>
            <c:idx val="2"/>
            <c:bubble3D val="0"/>
            <c:spPr>
              <a:solidFill>
                <a:srgbClr val="032D71"/>
              </a:solidFill>
              <a:ln w="19050">
                <a:noFill/>
              </a:ln>
              <a:effectLst/>
            </c:spPr>
            <c:extLst>
              <c:ext xmlns:c16="http://schemas.microsoft.com/office/drawing/2014/chart" uri="{C3380CC4-5D6E-409C-BE32-E72D297353CC}">
                <c16:uniqueId val="{00000005-C3DD-43CE-B82F-397709B8A8C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Processing!$L$9:$L$11</c:f>
              <c:strCache>
                <c:ptCount val="3"/>
                <c:pt idx="0">
                  <c:v>Completed</c:v>
                </c:pt>
                <c:pt idx="1">
                  <c:v>Pending</c:v>
                </c:pt>
                <c:pt idx="2">
                  <c:v>Added</c:v>
                </c:pt>
              </c:strCache>
            </c:strRef>
          </c:cat>
          <c:val>
            <c:numRef>
              <c:f>Processing!$M$9:$M$11</c:f>
              <c:numCache>
                <c:formatCode>0%</c:formatCode>
                <c:ptCount val="3"/>
                <c:pt idx="0">
                  <c:v>0.21276595744680851</c:v>
                </c:pt>
                <c:pt idx="1">
                  <c:v>0.61702127659574468</c:v>
                </c:pt>
                <c:pt idx="2">
                  <c:v>0.1702127659574468</c:v>
                </c:pt>
              </c:numCache>
            </c:numRef>
          </c:val>
          <c:extLst>
            <c:ext xmlns:c16="http://schemas.microsoft.com/office/drawing/2014/chart" uri="{C3380CC4-5D6E-409C-BE32-E72D297353CC}">
              <c16:uniqueId val="{00000006-C3DD-43CE-B82F-397709B8A8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687335958005246"/>
          <c:y val="0.28506354075372481"/>
          <c:w val="0.41693924978127739"/>
          <c:h val="0.42987147488635458"/>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3D5DAD"/>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5.0925925925925923E-2"/>
          <c:w val="0.95270341207349063"/>
          <c:h val="0.91235093752238783"/>
        </c:manualLayout>
      </c:layout>
      <c:barChart>
        <c:barDir val="col"/>
        <c:grouping val="stacked"/>
        <c:varyColors val="0"/>
        <c:ser>
          <c:idx val="4"/>
          <c:order val="4"/>
          <c:tx>
            <c:strRef>
              <c:f>Processing!$F$16</c:f>
              <c:strCache>
                <c:ptCount val="1"/>
                <c:pt idx="0">
                  <c:v>Cursor</c:v>
                </c:pt>
              </c:strCache>
            </c:strRef>
          </c:tx>
          <c:spPr>
            <a:gradFill>
              <a:gsLst>
                <a:gs pos="0">
                  <a:srgbClr val="A0D8FC">
                    <a:alpha val="10000"/>
                  </a:srgbClr>
                </a:gs>
                <a:gs pos="65000">
                  <a:srgbClr val="A0D8FC">
                    <a:alpha val="25000"/>
                  </a:srgbClr>
                </a:gs>
                <a:gs pos="100000">
                  <a:srgbClr val="A0D8FC">
                    <a:alpha val="0"/>
                  </a:srgbClr>
                </a:gs>
              </a:gsLst>
              <a:lin ang="5400000" scaled="1"/>
            </a:gradFill>
            <a:ln>
              <a:noFill/>
            </a:ln>
            <a:effectLst/>
          </c:spPr>
          <c:invertIfNegative val="0"/>
          <c:dLbls>
            <c:dLbl>
              <c:idx val="0"/>
              <c:tx>
                <c:rich>
                  <a:bodyPr/>
                  <a:lstStyle/>
                  <a:p>
                    <a:fld id="{909434BE-BFD6-4D53-A646-2D17F7076EF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65D-45B6-A3B6-9F4EABB2574E}"/>
                </c:ext>
              </c:extLst>
            </c:dLbl>
            <c:dLbl>
              <c:idx val="1"/>
              <c:tx>
                <c:rich>
                  <a:bodyPr/>
                  <a:lstStyle/>
                  <a:p>
                    <a:fld id="{01B0880F-60B5-4461-9463-C2740681CE4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65D-45B6-A3B6-9F4EABB2574E}"/>
                </c:ext>
              </c:extLst>
            </c:dLbl>
            <c:dLbl>
              <c:idx val="2"/>
              <c:tx>
                <c:rich>
                  <a:bodyPr/>
                  <a:lstStyle/>
                  <a:p>
                    <a:fld id="{9C3F58AA-1368-40C2-8FD8-14D2219017B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65D-45B6-A3B6-9F4EABB2574E}"/>
                </c:ext>
              </c:extLst>
            </c:dLbl>
            <c:dLbl>
              <c:idx val="3"/>
              <c:tx>
                <c:rich>
                  <a:bodyPr/>
                  <a:lstStyle/>
                  <a:p>
                    <a:fld id="{FCE07286-8A58-47A5-96E1-3A670B3423C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65D-45B6-A3B6-9F4EABB2574E}"/>
                </c:ext>
              </c:extLst>
            </c:dLbl>
            <c:dLbl>
              <c:idx val="4"/>
              <c:tx>
                <c:rich>
                  <a:bodyPr/>
                  <a:lstStyle/>
                  <a:p>
                    <a:fld id="{05F5CCD2-E6ED-4C4E-9232-546557FCD09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65D-45B6-A3B6-9F4EABB2574E}"/>
                </c:ext>
              </c:extLst>
            </c:dLbl>
            <c:dLbl>
              <c:idx val="5"/>
              <c:tx>
                <c:rich>
                  <a:bodyPr/>
                  <a:lstStyle/>
                  <a:p>
                    <a:fld id="{9077A028-EAA4-4449-AE96-9ED4D1DC0FD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65D-45B6-A3B6-9F4EABB2574E}"/>
                </c:ext>
              </c:extLst>
            </c:dLbl>
            <c:dLbl>
              <c:idx val="6"/>
              <c:tx>
                <c:rich>
                  <a:bodyPr/>
                  <a:lstStyle/>
                  <a:p>
                    <a:fld id="{82C05716-E1D2-4EF6-B557-42E58CE4342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65D-45B6-A3B6-9F4EABB2574E}"/>
                </c:ext>
              </c:extLst>
            </c:dLbl>
            <c:dLbl>
              <c:idx val="7"/>
              <c:tx>
                <c:rich>
                  <a:bodyPr/>
                  <a:lstStyle/>
                  <a:p>
                    <a:fld id="{08331A8E-1487-4362-932D-4374836F248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65D-45B6-A3B6-9F4EABB2574E}"/>
                </c:ext>
              </c:extLst>
            </c:dLbl>
            <c:dLbl>
              <c:idx val="8"/>
              <c:tx>
                <c:rich>
                  <a:bodyPr/>
                  <a:lstStyle/>
                  <a:p>
                    <a:fld id="{F786788C-C507-4E87-A6C2-E62E53FC0A7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65D-45B6-A3B6-9F4EABB2574E}"/>
                </c:ext>
              </c:extLst>
            </c:dLbl>
            <c:dLbl>
              <c:idx val="9"/>
              <c:tx>
                <c:rich>
                  <a:bodyPr/>
                  <a:lstStyle/>
                  <a:p>
                    <a:fld id="{1C54BC45-FA14-4C72-A73F-945C04E69B5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65D-45B6-A3B6-9F4EABB2574E}"/>
                </c:ext>
              </c:extLst>
            </c:dLbl>
            <c:dLbl>
              <c:idx val="10"/>
              <c:tx>
                <c:rich>
                  <a:bodyPr/>
                  <a:lstStyle/>
                  <a:p>
                    <a:fld id="{95F7D5A1-B731-4BB2-BE45-F3616C6CF45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65D-45B6-A3B6-9F4EABB2574E}"/>
                </c:ext>
              </c:extLst>
            </c:dLbl>
            <c:dLbl>
              <c:idx val="11"/>
              <c:tx>
                <c:rich>
                  <a:bodyPr/>
                  <a:lstStyle/>
                  <a:p>
                    <a:fld id="{6FA20C11-72E4-476D-88BF-11CEF75DBB0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65D-45B6-A3B6-9F4EABB2574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A0D8FC"/>
                    </a:solidFill>
                    <a:latin typeface="+mn-lt"/>
                    <a:ea typeface="+mn-ea"/>
                    <a:cs typeface="+mn-cs"/>
                  </a:defRPr>
                </a:pPr>
                <a:endParaRPr lang="ru-RU"/>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Processing!$F$17:$F$28</c:f>
              <c:numCache>
                <c:formatCode>General</c:formatCode>
                <c:ptCount val="12"/>
                <c:pt idx="0">
                  <c:v>0</c:v>
                </c:pt>
                <c:pt idx="1">
                  <c:v>0</c:v>
                </c:pt>
                <c:pt idx="2">
                  <c:v>0</c:v>
                </c:pt>
                <c:pt idx="3">
                  <c:v>97.8</c:v>
                </c:pt>
                <c:pt idx="4">
                  <c:v>0</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Processing!$G$17:$G$28</c15:f>
                <c15:dlblRangeCache>
                  <c:ptCount val="12"/>
                  <c:pt idx="3">
                    <c:v>10</c:v>
                  </c:pt>
                </c15:dlblRangeCache>
              </c15:datalabelsRange>
            </c:ext>
            <c:ext xmlns:c16="http://schemas.microsoft.com/office/drawing/2014/chart" uri="{C3380CC4-5D6E-409C-BE32-E72D297353CC}">
              <c16:uniqueId val="{0000000C-A65D-45B6-A3B6-9F4EABB2574E}"/>
            </c:ext>
          </c:extLst>
        </c:ser>
        <c:dLbls>
          <c:showLegendKey val="0"/>
          <c:showVal val="0"/>
          <c:showCatName val="0"/>
          <c:showSerName val="0"/>
          <c:showPercent val="0"/>
          <c:showBubbleSize val="0"/>
        </c:dLbls>
        <c:gapWidth val="50"/>
        <c:overlap val="100"/>
        <c:axId val="1627420847"/>
        <c:axId val="1627422767"/>
      </c:barChart>
      <c:barChart>
        <c:barDir val="col"/>
        <c:grouping val="stacked"/>
        <c:varyColors val="0"/>
        <c:ser>
          <c:idx val="0"/>
          <c:order val="0"/>
          <c:tx>
            <c:strRef>
              <c:f>Processing!$B$16</c:f>
              <c:strCache>
                <c:ptCount val="1"/>
                <c:pt idx="0">
                  <c:v>indent</c:v>
                </c:pt>
              </c:strCache>
            </c:strRef>
          </c:tx>
          <c:spPr>
            <a:no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59</c:v>
                </c:pt>
                <c:pt idx="1">
                  <c:v>53</c:v>
                </c:pt>
                <c:pt idx="2">
                  <c:v>47</c:v>
                </c:pt>
                <c:pt idx="3">
                  <c:v>39</c:v>
                </c:pt>
                <c:pt idx="4">
                  <c:v>27</c:v>
                </c:pt>
                <c:pt idx="5">
                  <c:v>18</c:v>
                </c:pt>
                <c:pt idx="6">
                  <c:v>10</c:v>
                </c:pt>
                <c:pt idx="7">
                  <c:v>5</c:v>
                </c:pt>
                <c:pt idx="8">
                  <c:v>3</c:v>
                </c:pt>
                <c:pt idx="9">
                  <c:v>2</c:v>
                </c:pt>
                <c:pt idx="10">
                  <c:v>0</c:v>
                </c:pt>
                <c:pt idx="11">
                  <c:v>0</c:v>
                </c:pt>
              </c:numCache>
            </c:numRef>
          </c:val>
          <c:extLst>
            <c:ext xmlns:c16="http://schemas.microsoft.com/office/drawing/2014/chart" uri="{C3380CC4-5D6E-409C-BE32-E72D297353CC}">
              <c16:uniqueId val="{0000000D-A65D-45B6-A3B6-9F4EABB2574E}"/>
            </c:ext>
          </c:extLst>
        </c:ser>
        <c:ser>
          <c:idx val="1"/>
          <c:order val="1"/>
          <c:tx>
            <c:strRef>
              <c:f>Processing!$C$16</c:f>
              <c:strCache>
                <c:ptCount val="1"/>
                <c:pt idx="0">
                  <c:v>Added</c:v>
                </c:pt>
              </c:strCache>
            </c:strRef>
          </c:tx>
          <c:spPr>
            <a:solidFill>
              <a:srgbClr val="1553B7"/>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39</c:v>
                </c:pt>
                <c:pt idx="1">
                  <c:v>6</c:v>
                </c:pt>
                <c:pt idx="2">
                  <c:v>6</c:v>
                </c:pt>
                <c:pt idx="3">
                  <c:v>8</c:v>
                </c:pt>
                <c:pt idx="4">
                  <c:v>12</c:v>
                </c:pt>
                <c:pt idx="5">
                  <c:v>9</c:v>
                </c:pt>
                <c:pt idx="6">
                  <c:v>8</c:v>
                </c:pt>
                <c:pt idx="7">
                  <c:v>7</c:v>
                </c:pt>
                <c:pt idx="8">
                  <c:v>2</c:v>
                </c:pt>
                <c:pt idx="9">
                  <c:v>1</c:v>
                </c:pt>
                <c:pt idx="10">
                  <c:v>0</c:v>
                </c:pt>
                <c:pt idx="11">
                  <c:v>0</c:v>
                </c:pt>
              </c:numCache>
            </c:numRef>
          </c:val>
          <c:extLst>
            <c:ext xmlns:c16="http://schemas.microsoft.com/office/drawing/2014/chart" uri="{C3380CC4-5D6E-409C-BE32-E72D297353CC}">
              <c16:uniqueId val="{0000000E-A65D-45B6-A3B6-9F4EABB2574E}"/>
            </c:ext>
          </c:extLst>
        </c:ser>
        <c:ser>
          <c:idx val="2"/>
          <c:order val="2"/>
          <c:tx>
            <c:strRef>
              <c:f>Processing!$D$16</c:f>
              <c:strCache>
                <c:ptCount val="1"/>
                <c:pt idx="0">
                  <c:v>Pending</c:v>
                </c:pt>
              </c:strCache>
            </c:strRef>
          </c:tx>
          <c:spPr>
            <a:solidFill>
              <a:srgbClr val="1A74E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F-A65D-45B6-A3B6-9F4EABB257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Processing!$D$17:$D$28</c:f>
              <c:numCache>
                <c:formatCode>General</c:formatCode>
                <c:ptCount val="12"/>
                <c:pt idx="0">
                  <c:v>0</c:v>
                </c:pt>
                <c:pt idx="1">
                  <c:v>32</c:v>
                </c:pt>
                <c:pt idx="2">
                  <c:v>33</c:v>
                </c:pt>
                <c:pt idx="3">
                  <c:v>29</c:v>
                </c:pt>
                <c:pt idx="4">
                  <c:v>16</c:v>
                </c:pt>
                <c:pt idx="5">
                  <c:v>11</c:v>
                </c:pt>
                <c:pt idx="6">
                  <c:v>5</c:v>
                </c:pt>
                <c:pt idx="7">
                  <c:v>3</c:v>
                </c:pt>
                <c:pt idx="8">
                  <c:v>5</c:v>
                </c:pt>
                <c:pt idx="9">
                  <c:v>3</c:v>
                </c:pt>
                <c:pt idx="10">
                  <c:v>1</c:v>
                </c:pt>
                <c:pt idx="11">
                  <c:v>0</c:v>
                </c:pt>
              </c:numCache>
            </c:numRef>
          </c:val>
          <c:extLst>
            <c:ext xmlns:c16="http://schemas.microsoft.com/office/drawing/2014/chart" uri="{C3380CC4-5D6E-409C-BE32-E72D297353CC}">
              <c16:uniqueId val="{00000010-A65D-45B6-A3B6-9F4EABB2574E}"/>
            </c:ext>
          </c:extLst>
        </c:ser>
        <c:ser>
          <c:idx val="3"/>
          <c:order val="3"/>
          <c:tx>
            <c:strRef>
              <c:f>Processing!$E$16</c:f>
              <c:strCache>
                <c:ptCount val="1"/>
                <c:pt idx="0">
                  <c:v>Completed</c:v>
                </c:pt>
              </c:strCache>
            </c:strRef>
          </c:tx>
          <c:spPr>
            <a:solidFill>
              <a:srgbClr val="A0D8FC"/>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Processing!$E$17:$E$28</c:f>
              <c:numCache>
                <c:formatCode>General</c:formatCode>
                <c:ptCount val="12"/>
                <c:pt idx="0">
                  <c:v>0</c:v>
                </c:pt>
                <c:pt idx="1">
                  <c:v>7</c:v>
                </c:pt>
                <c:pt idx="2">
                  <c:v>5</c:v>
                </c:pt>
                <c:pt idx="3">
                  <c:v>10</c:v>
                </c:pt>
                <c:pt idx="4">
                  <c:v>21</c:v>
                </c:pt>
                <c:pt idx="5">
                  <c:v>17</c:v>
                </c:pt>
                <c:pt idx="6">
                  <c:v>15</c:v>
                </c:pt>
                <c:pt idx="7">
                  <c:v>10</c:v>
                </c:pt>
                <c:pt idx="8">
                  <c:v>5</c:v>
                </c:pt>
                <c:pt idx="9">
                  <c:v>4</c:v>
                </c:pt>
                <c:pt idx="10">
                  <c:v>3</c:v>
                </c:pt>
                <c:pt idx="11">
                  <c:v>1</c:v>
                </c:pt>
              </c:numCache>
            </c:numRef>
          </c:val>
          <c:extLst>
            <c:ext xmlns:c16="http://schemas.microsoft.com/office/drawing/2014/chart" uri="{C3380CC4-5D6E-409C-BE32-E72D297353CC}">
              <c16:uniqueId val="{00000011-A65D-45B6-A3B6-9F4EABB2574E}"/>
            </c:ext>
          </c:extLst>
        </c:ser>
        <c:dLbls>
          <c:showLegendKey val="0"/>
          <c:showVal val="0"/>
          <c:showCatName val="0"/>
          <c:showSerName val="0"/>
          <c:showPercent val="0"/>
          <c:showBubbleSize val="0"/>
        </c:dLbls>
        <c:gapWidth val="50"/>
        <c:overlap val="100"/>
        <c:axId val="1490464271"/>
        <c:axId val="1781360335"/>
      </c:barChart>
      <c:catAx>
        <c:axId val="1627420847"/>
        <c:scaling>
          <c:orientation val="minMax"/>
        </c:scaling>
        <c:delete val="1"/>
        <c:axPos val="b"/>
        <c:numFmt formatCode="General" sourceLinked="1"/>
        <c:majorTickMark val="none"/>
        <c:minorTickMark val="none"/>
        <c:tickLblPos val="nextTo"/>
        <c:crossAx val="1627422767"/>
        <c:crosses val="autoZero"/>
        <c:auto val="1"/>
        <c:lblAlgn val="ctr"/>
        <c:lblOffset val="100"/>
        <c:noMultiLvlLbl val="0"/>
      </c:catAx>
      <c:valAx>
        <c:axId val="1627422767"/>
        <c:scaling>
          <c:orientation val="minMax"/>
          <c:min val="0"/>
        </c:scaling>
        <c:delete val="1"/>
        <c:axPos val="l"/>
        <c:numFmt formatCode="General" sourceLinked="1"/>
        <c:majorTickMark val="out"/>
        <c:minorTickMark val="none"/>
        <c:tickLblPos val="nextTo"/>
        <c:crossAx val="1627420847"/>
        <c:crosses val="autoZero"/>
        <c:crossBetween val="between"/>
      </c:valAx>
      <c:valAx>
        <c:axId val="1781360335"/>
        <c:scaling>
          <c:orientation val="minMax"/>
        </c:scaling>
        <c:delete val="1"/>
        <c:axPos val="r"/>
        <c:numFmt formatCode="General" sourceLinked="1"/>
        <c:majorTickMark val="out"/>
        <c:minorTickMark val="none"/>
        <c:tickLblPos val="nextTo"/>
        <c:crossAx val="1490464271"/>
        <c:crosses val="max"/>
        <c:crossBetween val="between"/>
      </c:valAx>
      <c:catAx>
        <c:axId val="1490464271"/>
        <c:scaling>
          <c:orientation val="minMax"/>
        </c:scaling>
        <c:delete val="1"/>
        <c:axPos val="b"/>
        <c:numFmt formatCode="General" sourceLinked="1"/>
        <c:majorTickMark val="out"/>
        <c:minorTickMark val="none"/>
        <c:tickLblPos val="nextTo"/>
        <c:crossAx val="1781360335"/>
        <c:crosses val="autoZero"/>
        <c:auto val="1"/>
        <c:lblAlgn val="ctr"/>
        <c:lblOffset val="100"/>
        <c:noMultiLvlLbl val="0"/>
      </c:catAx>
      <c:spPr>
        <a:noFill/>
        <a:ln>
          <a:noFill/>
        </a:ln>
        <a:effectLst/>
      </c:spPr>
    </c:plotArea>
    <c:legend>
      <c:legendPos val="r"/>
      <c:legendEntry>
        <c:idx val="0"/>
        <c:delete val="1"/>
      </c:legendEntry>
      <c:legendEntry>
        <c:idx val="4"/>
        <c:delete val="1"/>
      </c:legendEntry>
      <c:layout>
        <c:manualLayout>
          <c:xMode val="edge"/>
          <c:yMode val="edge"/>
          <c:x val="0.69222131431684242"/>
          <c:y val="1.1564078683712925E-3"/>
          <c:w val="0.2019586614173228"/>
          <c:h val="0.31770851381963561"/>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3D5DAD"/>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 DARK'!A1"/><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4.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png"/><Relationship Id="rId5" Type="http://schemas.openxmlformats.org/officeDocument/2006/relationships/chart" Target="../charts/chart14.xml"/><Relationship Id="rId10" Type="http://schemas.openxmlformats.org/officeDocument/2006/relationships/hyperlink" Target="#DASHBOARD!A1"/><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1</xdr:col>
      <xdr:colOff>236220</xdr:colOff>
      <xdr:row>2</xdr:row>
      <xdr:rowOff>53340</xdr:rowOff>
    </xdr:to>
    <xdr:sp macro="" textlink="">
      <xdr:nvSpPr>
        <xdr:cNvPr id="52" name="Rectangle 51">
          <a:extLst>
            <a:ext uri="{FF2B5EF4-FFF2-40B4-BE49-F238E27FC236}">
              <a16:creationId xmlns:a16="http://schemas.microsoft.com/office/drawing/2014/main" id="{7A9A012B-2E16-3D37-B4AB-669AEDF9E171}"/>
            </a:ext>
          </a:extLst>
        </xdr:cNvPr>
        <xdr:cNvSpPr/>
      </xdr:nvSpPr>
      <xdr:spPr>
        <a:xfrm>
          <a:off x="7620" y="0"/>
          <a:ext cx="838200" cy="419100"/>
        </a:xfrm>
        <a:prstGeom prst="rect">
          <a:avLst/>
        </a:prstGeom>
        <a:solidFill>
          <a:srgbClr val="EFF0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426720</xdr:colOff>
      <xdr:row>1</xdr:row>
      <xdr:rowOff>121920</xdr:rowOff>
    </xdr:from>
    <xdr:to>
      <xdr:col>23</xdr:col>
      <xdr:colOff>121920</xdr:colOff>
      <xdr:row>40</xdr:row>
      <xdr:rowOff>121920</xdr:rowOff>
    </xdr:to>
    <xdr:sp macro="" textlink="">
      <xdr:nvSpPr>
        <xdr:cNvPr id="3" name="Rectangle: Rounded Corners 2">
          <a:extLst>
            <a:ext uri="{FF2B5EF4-FFF2-40B4-BE49-F238E27FC236}">
              <a16:creationId xmlns:a16="http://schemas.microsoft.com/office/drawing/2014/main" id="{A63D1C97-4C30-6B4C-7704-1A04DFEBC86A}"/>
            </a:ext>
          </a:extLst>
        </xdr:cNvPr>
        <xdr:cNvSpPr/>
      </xdr:nvSpPr>
      <xdr:spPr>
        <a:xfrm>
          <a:off x="426720" y="304800"/>
          <a:ext cx="13716000" cy="7132320"/>
        </a:xfrm>
        <a:prstGeom prst="roundRect">
          <a:avLst>
            <a:gd name="adj" fmla="val 2729"/>
          </a:avLst>
        </a:prstGeom>
        <a:solidFill>
          <a:srgbClr val="FCFCFE"/>
        </a:solidFill>
        <a:ln>
          <a:noFill/>
        </a:ln>
        <a:effectLst>
          <a:outerShdw blurRad="254000" dist="1270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3</xdr:row>
      <xdr:rowOff>180951</xdr:rowOff>
    </xdr:from>
    <xdr:to>
      <xdr:col>7</xdr:col>
      <xdr:colOff>400778</xdr:colOff>
      <xdr:row>12</xdr:row>
      <xdr:rowOff>177389</xdr:rowOff>
    </xdr:to>
    <xdr:sp macro="" textlink="Processing!G2">
      <xdr:nvSpPr>
        <xdr:cNvPr id="4" name="Rectangle: Rounded Corners 3">
          <a:extLst>
            <a:ext uri="{FF2B5EF4-FFF2-40B4-BE49-F238E27FC236}">
              <a16:creationId xmlns:a16="http://schemas.microsoft.com/office/drawing/2014/main" id="{7D23BA43-8B11-FFF4-0B54-149708B3BCF6}"/>
            </a:ext>
          </a:extLst>
        </xdr:cNvPr>
        <xdr:cNvSpPr/>
      </xdr:nvSpPr>
      <xdr:spPr>
        <a:xfrm>
          <a:off x="781778" y="729591"/>
          <a:ext cx="3886200" cy="1642358"/>
        </a:xfrm>
        <a:prstGeom prst="roundRect">
          <a:avLst>
            <a:gd name="adj" fmla="val 9972"/>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B1B818D-C397-42C0-A2C0-E174DEA228F9}" type="TxLink">
            <a:rPr lang="en-US" sz="3600" b="1" i="0" u="none" strike="noStrike">
              <a:solidFill>
                <a:srgbClr val="000000"/>
              </a:solidFill>
              <a:latin typeface="Arial" panose="020B0604020202020204" pitchFamily="34" charset="0"/>
              <a:cs typeface="Arial" panose="020B0604020202020204" pitchFamily="34" charset="0"/>
            </a:rPr>
            <a:pPr algn="l"/>
            <a:t> $6,400 </a:t>
          </a:fld>
          <a:endParaRPr lang="ru-RU" sz="3600" b="1">
            <a:latin typeface="Arial" panose="020B0604020202020204" pitchFamily="34" charset="0"/>
            <a:cs typeface="Arial" panose="020B0604020202020204" pitchFamily="34" charset="0"/>
          </a:endParaRPr>
        </a:p>
      </xdr:txBody>
    </xdr:sp>
    <xdr:clientData/>
  </xdr:twoCellAnchor>
  <xdr:twoCellAnchor>
    <xdr:from>
      <xdr:col>8</xdr:col>
      <xdr:colOff>9455</xdr:colOff>
      <xdr:row>3</xdr:row>
      <xdr:rowOff>180951</xdr:rowOff>
    </xdr:from>
    <xdr:to>
      <xdr:col>16</xdr:col>
      <xdr:colOff>299015</xdr:colOff>
      <xdr:row>19</xdr:row>
      <xdr:rowOff>40037</xdr:rowOff>
    </xdr:to>
    <xdr:sp macro="" textlink="">
      <xdr:nvSpPr>
        <xdr:cNvPr id="5" name="Rectangle: Rounded Corners 4">
          <a:extLst>
            <a:ext uri="{FF2B5EF4-FFF2-40B4-BE49-F238E27FC236}">
              <a16:creationId xmlns:a16="http://schemas.microsoft.com/office/drawing/2014/main" id="{C271B7FE-1595-10B8-B429-64899ECEB10A}"/>
            </a:ext>
          </a:extLst>
        </xdr:cNvPr>
        <xdr:cNvSpPr/>
      </xdr:nvSpPr>
      <xdr:spPr>
        <a:xfrm>
          <a:off x="4886255" y="729591"/>
          <a:ext cx="5166360" cy="2785166"/>
        </a:xfrm>
        <a:prstGeom prst="roundRect">
          <a:avLst>
            <a:gd name="adj" fmla="val 604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517292</xdr:colOff>
      <xdr:row>3</xdr:row>
      <xdr:rowOff>180951</xdr:rowOff>
    </xdr:from>
    <xdr:to>
      <xdr:col>22</xdr:col>
      <xdr:colOff>366254</xdr:colOff>
      <xdr:row>16</xdr:row>
      <xdr:rowOff>102813</xdr:rowOff>
    </xdr:to>
    <xdr:sp macro="" textlink="">
      <xdr:nvSpPr>
        <xdr:cNvPr id="6" name="Rectangle: Rounded Corners 5">
          <a:extLst>
            <a:ext uri="{FF2B5EF4-FFF2-40B4-BE49-F238E27FC236}">
              <a16:creationId xmlns:a16="http://schemas.microsoft.com/office/drawing/2014/main" id="{FD297697-235A-1F4E-5AF1-A369CF350CA1}"/>
            </a:ext>
          </a:extLst>
        </xdr:cNvPr>
        <xdr:cNvSpPr/>
      </xdr:nvSpPr>
      <xdr:spPr>
        <a:xfrm>
          <a:off x="10270892" y="729591"/>
          <a:ext cx="3506562" cy="2299302"/>
        </a:xfrm>
        <a:prstGeom prst="roundRect">
          <a:avLst>
            <a:gd name="adj" fmla="val 638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7533</xdr:colOff>
      <xdr:row>20</xdr:row>
      <xdr:rowOff>62452</xdr:rowOff>
    </xdr:from>
    <xdr:to>
      <xdr:col>16</xdr:col>
      <xdr:colOff>297093</xdr:colOff>
      <xdr:row>38</xdr:row>
      <xdr:rowOff>123760</xdr:rowOff>
    </xdr:to>
    <xdr:sp macro="" textlink="">
      <xdr:nvSpPr>
        <xdr:cNvPr id="7" name="Rectangle: Rounded Corners 6">
          <a:extLst>
            <a:ext uri="{FF2B5EF4-FFF2-40B4-BE49-F238E27FC236}">
              <a16:creationId xmlns:a16="http://schemas.microsoft.com/office/drawing/2014/main" id="{930FDECF-5B3C-573E-068D-DDB8EC416915}"/>
            </a:ext>
          </a:extLst>
        </xdr:cNvPr>
        <xdr:cNvSpPr/>
      </xdr:nvSpPr>
      <xdr:spPr>
        <a:xfrm>
          <a:off x="4884333" y="3720052"/>
          <a:ext cx="5166360" cy="3353148"/>
        </a:xfrm>
        <a:prstGeom prst="roundRect">
          <a:avLst>
            <a:gd name="adj" fmla="val 604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521136</xdr:colOff>
      <xdr:row>17</xdr:row>
      <xdr:rowOff>124389</xdr:rowOff>
    </xdr:from>
    <xdr:to>
      <xdr:col>22</xdr:col>
      <xdr:colOff>370098</xdr:colOff>
      <xdr:row>27</xdr:row>
      <xdr:rowOff>124389</xdr:rowOff>
    </xdr:to>
    <xdr:sp macro="" textlink="">
      <xdr:nvSpPr>
        <xdr:cNvPr id="9" name="Rectangle: Rounded Corners 8">
          <a:extLst>
            <a:ext uri="{FF2B5EF4-FFF2-40B4-BE49-F238E27FC236}">
              <a16:creationId xmlns:a16="http://schemas.microsoft.com/office/drawing/2014/main" id="{2896024A-D66F-9F06-F19A-03F9E3248203}"/>
            </a:ext>
          </a:extLst>
        </xdr:cNvPr>
        <xdr:cNvSpPr/>
      </xdr:nvSpPr>
      <xdr:spPr>
        <a:xfrm>
          <a:off x="10274736" y="3233349"/>
          <a:ext cx="3506562" cy="1828800"/>
        </a:xfrm>
        <a:prstGeom prst="roundRect">
          <a:avLst>
            <a:gd name="adj" fmla="val 9227"/>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513447</xdr:colOff>
      <xdr:row>28</xdr:row>
      <xdr:rowOff>145966</xdr:rowOff>
    </xdr:from>
    <xdr:to>
      <xdr:col>22</xdr:col>
      <xdr:colOff>362409</xdr:colOff>
      <xdr:row>38</xdr:row>
      <xdr:rowOff>123761</xdr:rowOff>
    </xdr:to>
    <xdr:sp macro="" textlink="">
      <xdr:nvSpPr>
        <xdr:cNvPr id="10" name="Rectangle: Rounded Corners 9">
          <a:extLst>
            <a:ext uri="{FF2B5EF4-FFF2-40B4-BE49-F238E27FC236}">
              <a16:creationId xmlns:a16="http://schemas.microsoft.com/office/drawing/2014/main" id="{471B6191-A808-8CB9-8F26-8BE8E04FABF4}"/>
            </a:ext>
          </a:extLst>
        </xdr:cNvPr>
        <xdr:cNvSpPr/>
      </xdr:nvSpPr>
      <xdr:spPr>
        <a:xfrm>
          <a:off x="10267047" y="5266606"/>
          <a:ext cx="3506562" cy="1806595"/>
        </a:xfrm>
        <a:prstGeom prst="roundRect">
          <a:avLst>
            <a:gd name="adj" fmla="val 9227"/>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14</xdr:row>
      <xdr:rowOff>20115</xdr:rowOff>
    </xdr:from>
    <xdr:to>
      <xdr:col>7</xdr:col>
      <xdr:colOff>400778</xdr:colOff>
      <xdr:row>24</xdr:row>
      <xdr:rowOff>20115</xdr:rowOff>
    </xdr:to>
    <xdr:sp macro="" textlink="">
      <xdr:nvSpPr>
        <xdr:cNvPr id="12" name="Rectangle: Rounded Corners 11">
          <a:extLst>
            <a:ext uri="{FF2B5EF4-FFF2-40B4-BE49-F238E27FC236}">
              <a16:creationId xmlns:a16="http://schemas.microsoft.com/office/drawing/2014/main" id="{28FDC686-F0BD-4C4B-96CA-CCB916A68334}"/>
            </a:ext>
          </a:extLst>
        </xdr:cNvPr>
        <xdr:cNvSpPr/>
      </xdr:nvSpPr>
      <xdr:spPr>
        <a:xfrm>
          <a:off x="781778" y="2580435"/>
          <a:ext cx="3886200" cy="1828800"/>
        </a:xfrm>
        <a:prstGeom prst="roundRect">
          <a:avLst>
            <a:gd name="adj" fmla="val 888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25</xdr:row>
      <xdr:rowOff>45720</xdr:rowOff>
    </xdr:from>
    <xdr:to>
      <xdr:col>7</xdr:col>
      <xdr:colOff>400778</xdr:colOff>
      <xdr:row>38</xdr:row>
      <xdr:rowOff>123760</xdr:rowOff>
    </xdr:to>
    <xdr:sp macro="" textlink="">
      <xdr:nvSpPr>
        <xdr:cNvPr id="8" name="Rectangle: Rounded Corners 7">
          <a:extLst>
            <a:ext uri="{FF2B5EF4-FFF2-40B4-BE49-F238E27FC236}">
              <a16:creationId xmlns:a16="http://schemas.microsoft.com/office/drawing/2014/main" id="{DE45C422-5F7B-7560-8F57-B25B4C6D721D}"/>
            </a:ext>
          </a:extLst>
        </xdr:cNvPr>
        <xdr:cNvSpPr/>
      </xdr:nvSpPr>
      <xdr:spPr>
        <a:xfrm>
          <a:off x="781778" y="4617720"/>
          <a:ext cx="3886200" cy="2455480"/>
        </a:xfrm>
        <a:prstGeom prst="roundRect">
          <a:avLst>
            <a:gd name="adj" fmla="val 7289"/>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8</xdr:col>
      <xdr:colOff>93861</xdr:colOff>
      <xdr:row>6</xdr:row>
      <xdr:rowOff>38100</xdr:rowOff>
    </xdr:from>
    <xdr:to>
      <xdr:col>16</xdr:col>
      <xdr:colOff>200541</xdr:colOff>
      <xdr:row>18</xdr:row>
      <xdr:rowOff>129540</xdr:rowOff>
    </xdr:to>
    <xdr:graphicFrame macro="">
      <xdr:nvGraphicFramePr>
        <xdr:cNvPr id="2" name="Chart 1">
          <a:extLst>
            <a:ext uri="{FF2B5EF4-FFF2-40B4-BE49-F238E27FC236}">
              <a16:creationId xmlns:a16="http://schemas.microsoft.com/office/drawing/2014/main" id="{F94881EC-7840-48A0-9AFA-C7A3C126C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434340</xdr:colOff>
      <xdr:row>4</xdr:row>
      <xdr:rowOff>137160</xdr:rowOff>
    </xdr:from>
    <xdr:to>
      <xdr:col>4</xdr:col>
      <xdr:colOff>15240</xdr:colOff>
      <xdr:row>6</xdr:row>
      <xdr:rowOff>38100</xdr:rowOff>
    </xdr:to>
    <xdr:sp macro="" textlink="Processing!G1">
      <xdr:nvSpPr>
        <xdr:cNvPr id="11" name="TextBox 10">
          <a:extLst>
            <a:ext uri="{FF2B5EF4-FFF2-40B4-BE49-F238E27FC236}">
              <a16:creationId xmlns:a16="http://schemas.microsoft.com/office/drawing/2014/main" id="{9F5EA0EA-8F5B-B5E1-443A-E73D4C68B506}"/>
            </a:ext>
          </a:extLst>
        </xdr:cNvPr>
        <xdr:cNvSpPr txBox="1"/>
      </xdr:nvSpPr>
      <xdr:spPr>
        <a:xfrm>
          <a:off x="104394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0336B8F-1C43-4DBC-BC9D-969B6FEFAE84}" type="TxLink">
            <a:rPr lang="en-US" sz="1800" b="0" i="0" u="none" strike="noStrike">
              <a:solidFill>
                <a:srgbClr val="000000"/>
              </a:solidFill>
              <a:latin typeface="Aptos Narrow"/>
            </a:rPr>
            <a:pPr/>
            <a:t>Total Budget</a:t>
          </a:fld>
          <a:endParaRPr lang="ru-RU" sz="1800"/>
        </a:p>
      </xdr:txBody>
    </xdr:sp>
    <xdr:clientData/>
  </xdr:twoCellAnchor>
  <xdr:twoCellAnchor>
    <xdr:from>
      <xdr:col>5</xdr:col>
      <xdr:colOff>60960</xdr:colOff>
      <xdr:row>4</xdr:row>
      <xdr:rowOff>137160</xdr:rowOff>
    </xdr:from>
    <xdr:to>
      <xdr:col>7</xdr:col>
      <xdr:colOff>251460</xdr:colOff>
      <xdr:row>6</xdr:row>
      <xdr:rowOff>38100</xdr:rowOff>
    </xdr:to>
    <xdr:sp macro="" textlink="Processing!H1">
      <xdr:nvSpPr>
        <xdr:cNvPr id="13" name="TextBox 12">
          <a:extLst>
            <a:ext uri="{FF2B5EF4-FFF2-40B4-BE49-F238E27FC236}">
              <a16:creationId xmlns:a16="http://schemas.microsoft.com/office/drawing/2014/main" id="{7E373641-AB3F-37B6-78B8-061C94E9F967}"/>
            </a:ext>
          </a:extLst>
        </xdr:cNvPr>
        <xdr:cNvSpPr txBox="1"/>
      </xdr:nvSpPr>
      <xdr:spPr>
        <a:xfrm>
          <a:off x="310896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80F93B-0C8B-496B-9603-83EEDC6331BD}" type="TxLink">
            <a:rPr lang="en-US" sz="1800" b="0" i="0" u="none" strike="noStrike">
              <a:solidFill>
                <a:srgbClr val="000000"/>
              </a:solidFill>
              <a:latin typeface="Aptos Narrow"/>
              <a:ea typeface="+mn-ea"/>
              <a:cs typeface="+mn-cs"/>
            </a:rPr>
            <a:pPr marL="0" indent="0" algn="ctr"/>
            <a:t>KPI</a:t>
          </a:fld>
          <a:endParaRPr lang="ru-RU" sz="1800" b="0" i="0" u="none" strike="noStrike">
            <a:solidFill>
              <a:srgbClr val="000000"/>
            </a:solidFill>
            <a:latin typeface="Aptos Narrow"/>
            <a:ea typeface="+mn-ea"/>
            <a:cs typeface="+mn-cs"/>
          </a:endParaRPr>
        </a:p>
      </xdr:txBody>
    </xdr:sp>
    <xdr:clientData/>
  </xdr:twoCellAnchor>
  <xdr:twoCellAnchor>
    <xdr:from>
      <xdr:col>5</xdr:col>
      <xdr:colOff>176027</xdr:colOff>
      <xdr:row>6</xdr:row>
      <xdr:rowOff>23079</xdr:rowOff>
    </xdr:from>
    <xdr:to>
      <xdr:col>7</xdr:col>
      <xdr:colOff>145547</xdr:colOff>
      <xdr:row>12</xdr:row>
      <xdr:rowOff>114519</xdr:rowOff>
    </xdr:to>
    <xdr:graphicFrame macro="">
      <xdr:nvGraphicFramePr>
        <xdr:cNvPr id="14" name="Chart 13">
          <a:extLst>
            <a:ext uri="{FF2B5EF4-FFF2-40B4-BE49-F238E27FC236}">
              <a16:creationId xmlns:a16="http://schemas.microsoft.com/office/drawing/2014/main" id="{431884DD-38D9-4E73-967B-013565585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401376</xdr:colOff>
      <xdr:row>7</xdr:row>
      <xdr:rowOff>182862</xdr:rowOff>
    </xdr:from>
    <xdr:to>
      <xdr:col>6</xdr:col>
      <xdr:colOff>551124</xdr:colOff>
      <xdr:row>10</xdr:row>
      <xdr:rowOff>106698</xdr:rowOff>
    </xdr:to>
    <xdr:sp macro="" textlink="Processing!H2">
      <xdr:nvSpPr>
        <xdr:cNvPr id="15" name="TextBox 14">
          <a:extLst>
            <a:ext uri="{FF2B5EF4-FFF2-40B4-BE49-F238E27FC236}">
              <a16:creationId xmlns:a16="http://schemas.microsoft.com/office/drawing/2014/main" id="{C6EABDEE-CD7C-2698-7A10-AE31AB7506ED}"/>
            </a:ext>
          </a:extLst>
        </xdr:cNvPr>
        <xdr:cNvSpPr txBox="1"/>
      </xdr:nvSpPr>
      <xdr:spPr>
        <a:xfrm>
          <a:off x="3449376" y="1463022"/>
          <a:ext cx="75934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2AC3E1-916B-419A-A6AC-75BEFD38ADBA}" type="TxLink">
            <a:rPr lang="en-US" sz="1600" b="0" i="0" u="none" strike="noStrike">
              <a:solidFill>
                <a:srgbClr val="000000"/>
              </a:solidFill>
              <a:latin typeface="Aptos Narrow"/>
              <a:ea typeface="+mn-ea"/>
              <a:cs typeface="+mn-cs"/>
            </a:rPr>
            <a:pPr marL="0" indent="0" algn="ctr"/>
            <a:t>67%</a:t>
          </a:fld>
          <a:endParaRPr lang="ru-RU" sz="2800" b="0" i="0" u="none" strike="noStrike">
            <a:solidFill>
              <a:srgbClr val="000000"/>
            </a:solidFill>
            <a:latin typeface="Aptos Narrow"/>
            <a:ea typeface="+mn-ea"/>
            <a:cs typeface="+mn-cs"/>
          </a:endParaRPr>
        </a:p>
      </xdr:txBody>
    </xdr:sp>
    <xdr:clientData/>
  </xdr:twoCellAnchor>
  <xdr:twoCellAnchor>
    <xdr:from>
      <xdr:col>9</xdr:col>
      <xdr:colOff>411480</xdr:colOff>
      <xdr:row>4</xdr:row>
      <xdr:rowOff>118110</xdr:rowOff>
    </xdr:from>
    <xdr:to>
      <xdr:col>11</xdr:col>
      <xdr:colOff>601980</xdr:colOff>
      <xdr:row>6</xdr:row>
      <xdr:rowOff>19050</xdr:rowOff>
    </xdr:to>
    <xdr:sp macro="" textlink="Processing!A1">
      <xdr:nvSpPr>
        <xdr:cNvPr id="16" name="TextBox 15">
          <a:extLst>
            <a:ext uri="{FF2B5EF4-FFF2-40B4-BE49-F238E27FC236}">
              <a16:creationId xmlns:a16="http://schemas.microsoft.com/office/drawing/2014/main" id="{D98E5615-6178-A5B6-A870-B21DB37D228B}"/>
            </a:ext>
          </a:extLst>
        </xdr:cNvPr>
        <xdr:cNvSpPr txBox="1"/>
      </xdr:nvSpPr>
      <xdr:spPr>
        <a:xfrm>
          <a:off x="5897880" y="84963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D183265-2C3A-4773-A053-86149B3DDDFD}" type="TxLink">
            <a:rPr lang="en-US" sz="1400" b="0" i="0" u="none" strike="noStrike">
              <a:solidFill>
                <a:srgbClr val="000000"/>
              </a:solidFill>
              <a:latin typeface="Aptos Narrow"/>
            </a:rPr>
            <a:pPr/>
            <a:t>Budget/Expenses</a:t>
          </a:fld>
          <a:endParaRPr lang="ru-RU" sz="2400"/>
        </a:p>
      </xdr:txBody>
    </xdr:sp>
    <xdr:clientData/>
  </xdr:twoCellAnchor>
  <xdr:twoCellAnchor>
    <xdr:from>
      <xdr:col>14</xdr:col>
      <xdr:colOff>556260</xdr:colOff>
      <xdr:row>4</xdr:row>
      <xdr:rowOff>118110</xdr:rowOff>
    </xdr:from>
    <xdr:to>
      <xdr:col>16</xdr:col>
      <xdr:colOff>30480</xdr:colOff>
      <xdr:row>6</xdr:row>
      <xdr:rowOff>19050</xdr:rowOff>
    </xdr:to>
    <xdr:sp macro="" textlink="Processing!D1">
      <xdr:nvSpPr>
        <xdr:cNvPr id="17" name="TextBox 16">
          <a:extLst>
            <a:ext uri="{FF2B5EF4-FFF2-40B4-BE49-F238E27FC236}">
              <a16:creationId xmlns:a16="http://schemas.microsoft.com/office/drawing/2014/main" id="{7D211D1D-76E6-546D-BD38-162DB533DED8}"/>
            </a:ext>
          </a:extLst>
        </xdr:cNvPr>
        <xdr:cNvSpPr txBox="1"/>
      </xdr:nvSpPr>
      <xdr:spPr>
        <a:xfrm>
          <a:off x="90906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4DE7F5-A931-4E8D-A209-35C405E81C9F}" type="TxLink">
            <a:rPr lang="en-US" sz="1400" b="0" i="0" u="none" strike="noStrike">
              <a:solidFill>
                <a:srgbClr val="000000"/>
              </a:solidFill>
              <a:latin typeface="Aptos Narrow"/>
              <a:ea typeface="+mn-ea"/>
              <a:cs typeface="+mn-cs"/>
            </a:rPr>
            <a:pPr marL="0" indent="0" algn="r"/>
            <a:t>Deficit</a:t>
          </a:fld>
          <a:endParaRPr lang="ru-RU" sz="1400" b="0" i="0" u="none" strike="noStrike">
            <a:solidFill>
              <a:srgbClr val="000000"/>
            </a:solidFill>
            <a:latin typeface="Aptos Narrow"/>
            <a:ea typeface="+mn-ea"/>
            <a:cs typeface="+mn-cs"/>
          </a:endParaRPr>
        </a:p>
      </xdr:txBody>
    </xdr:sp>
    <xdr:clientData/>
  </xdr:twoCellAnchor>
  <xdr:twoCellAnchor>
    <xdr:from>
      <xdr:col>1</xdr:col>
      <xdr:colOff>297180</xdr:colOff>
      <xdr:row>15</xdr:row>
      <xdr:rowOff>30480</xdr:rowOff>
    </xdr:from>
    <xdr:to>
      <xdr:col>5</xdr:col>
      <xdr:colOff>236220</xdr:colOff>
      <xdr:row>23</xdr:row>
      <xdr:rowOff>83820</xdr:rowOff>
    </xdr:to>
    <xdr:graphicFrame macro="">
      <xdr:nvGraphicFramePr>
        <xdr:cNvPr id="18" name="Chart 17">
          <a:extLst>
            <a:ext uri="{FF2B5EF4-FFF2-40B4-BE49-F238E27FC236}">
              <a16:creationId xmlns:a16="http://schemas.microsoft.com/office/drawing/2014/main" id="{0E63E8D1-A5E7-4671-BC4A-64831DA61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434340</xdr:colOff>
      <xdr:row>14</xdr:row>
      <xdr:rowOff>167640</xdr:rowOff>
    </xdr:from>
    <xdr:to>
      <xdr:col>4</xdr:col>
      <xdr:colOff>15240</xdr:colOff>
      <xdr:row>16</xdr:row>
      <xdr:rowOff>68580</xdr:rowOff>
    </xdr:to>
    <xdr:sp macro="" textlink="Processing!G1">
      <xdr:nvSpPr>
        <xdr:cNvPr id="20" name="TextBox 19">
          <a:extLst>
            <a:ext uri="{FF2B5EF4-FFF2-40B4-BE49-F238E27FC236}">
              <a16:creationId xmlns:a16="http://schemas.microsoft.com/office/drawing/2014/main" id="{ECC6F419-1588-2D45-DA24-A1CB36BB0C85}"/>
            </a:ext>
          </a:extLst>
        </xdr:cNvPr>
        <xdr:cNvSpPr txBox="1"/>
      </xdr:nvSpPr>
      <xdr:spPr>
        <a:xfrm>
          <a:off x="1043940" y="272796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B030E9-48B8-49E4-B332-14EA5FCEAE93}" type="TxLink">
            <a:rPr lang="en-US" sz="1400" b="0" i="0" u="none" strike="noStrike">
              <a:solidFill>
                <a:srgbClr val="000000"/>
              </a:solidFill>
              <a:latin typeface="Aptos Narrow"/>
              <a:ea typeface="+mn-ea"/>
              <a:cs typeface="+mn-cs"/>
            </a:rPr>
            <a:pPr marL="0" indent="0"/>
            <a:t>Total Budget</a:t>
          </a:fld>
          <a:endParaRPr lang="ru-RU" sz="1400" b="0" i="0" u="none" strike="noStrike">
            <a:solidFill>
              <a:srgbClr val="000000"/>
            </a:solidFill>
            <a:latin typeface="Aptos Narrow"/>
            <a:ea typeface="+mn-ea"/>
            <a:cs typeface="+mn-cs"/>
          </a:endParaRPr>
        </a:p>
      </xdr:txBody>
    </xdr:sp>
    <xdr:clientData/>
  </xdr:twoCellAnchor>
  <xdr:twoCellAnchor>
    <xdr:from>
      <xdr:col>5</xdr:col>
      <xdr:colOff>140278</xdr:colOff>
      <xdr:row>14</xdr:row>
      <xdr:rowOff>154305</xdr:rowOff>
    </xdr:from>
    <xdr:to>
      <xdr:col>7</xdr:col>
      <xdr:colOff>202623</xdr:colOff>
      <xdr:row>16</xdr:row>
      <xdr:rowOff>81915</xdr:rowOff>
    </xdr:to>
    <xdr:sp macro="" textlink="Processing!H7">
      <xdr:nvSpPr>
        <xdr:cNvPr id="21" name="TextBox 20">
          <a:extLst>
            <a:ext uri="{FF2B5EF4-FFF2-40B4-BE49-F238E27FC236}">
              <a16:creationId xmlns:a16="http://schemas.microsoft.com/office/drawing/2014/main" id="{3CDA87C0-480D-712C-956D-919ED39A4E91}"/>
            </a:ext>
          </a:extLst>
        </xdr:cNvPr>
        <xdr:cNvSpPr txBox="1"/>
      </xdr:nvSpPr>
      <xdr:spPr>
        <a:xfrm>
          <a:off x="3188278" y="271462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B082CB-0BC3-4C36-A977-F801F26B3497}" type="TxLink">
            <a:rPr lang="en-US" sz="1400" b="0" i="0" u="none" strike="noStrike">
              <a:solidFill>
                <a:srgbClr val="000000"/>
              </a:solidFill>
              <a:latin typeface="Aptos Narrow"/>
              <a:ea typeface="+mn-ea"/>
              <a:cs typeface="+mn-cs"/>
            </a:rPr>
            <a:pPr marL="0" indent="0" algn="ctr"/>
            <a:t>Tasks Complet</a:t>
          </a:fld>
          <a:endParaRPr lang="ru-RU" sz="1400" b="0" i="0" u="none" strike="noStrike">
            <a:solidFill>
              <a:srgbClr val="000000"/>
            </a:solidFill>
            <a:latin typeface="Aptos Narrow"/>
            <a:ea typeface="+mn-ea"/>
            <a:cs typeface="+mn-cs"/>
          </a:endParaRPr>
        </a:p>
      </xdr:txBody>
    </xdr:sp>
    <xdr:clientData/>
  </xdr:twoCellAnchor>
  <xdr:twoCellAnchor>
    <xdr:from>
      <xdr:col>5</xdr:col>
      <xdr:colOff>299628</xdr:colOff>
      <xdr:row>16</xdr:row>
      <xdr:rowOff>0</xdr:rowOff>
    </xdr:from>
    <xdr:to>
      <xdr:col>7</xdr:col>
      <xdr:colOff>43272</xdr:colOff>
      <xdr:row>20</xdr:row>
      <xdr:rowOff>15240</xdr:rowOff>
    </xdr:to>
    <xdr:sp macro="" textlink="Processing!I12">
      <xdr:nvSpPr>
        <xdr:cNvPr id="22" name="TextBox 21">
          <a:extLst>
            <a:ext uri="{FF2B5EF4-FFF2-40B4-BE49-F238E27FC236}">
              <a16:creationId xmlns:a16="http://schemas.microsoft.com/office/drawing/2014/main" id="{7162412F-4F5B-9760-8ABE-CFB1C438C99B}"/>
            </a:ext>
          </a:extLst>
        </xdr:cNvPr>
        <xdr:cNvSpPr txBox="1"/>
      </xdr:nvSpPr>
      <xdr:spPr>
        <a:xfrm>
          <a:off x="3347628" y="2926080"/>
          <a:ext cx="962844"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D2EDAF-DBED-44BD-B17B-87E0844BE47D}" type="TxLink">
            <a:rPr lang="en-US" sz="3600" b="1" i="0" u="none" strike="noStrike">
              <a:solidFill>
                <a:srgbClr val="000000"/>
              </a:solidFill>
              <a:latin typeface="Arial" panose="020B0604020202020204" pitchFamily="34" charset="0"/>
              <a:ea typeface="+mn-ea"/>
              <a:cs typeface="Arial" panose="020B0604020202020204" pitchFamily="34" charset="0"/>
            </a:rPr>
            <a:pPr marL="0" indent="0" algn="ctr"/>
            <a:t>10</a:t>
          </a:fld>
          <a:endParaRPr lang="ru-RU" sz="3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xdr:col>
      <xdr:colOff>419828</xdr:colOff>
      <xdr:row>27</xdr:row>
      <xdr:rowOff>15240</xdr:rowOff>
    </xdr:from>
    <xdr:to>
      <xdr:col>7</xdr:col>
      <xdr:colOff>153128</xdr:colOff>
      <xdr:row>38</xdr:row>
      <xdr:rowOff>26670</xdr:rowOff>
    </xdr:to>
    <xdr:graphicFrame macro="">
      <xdr:nvGraphicFramePr>
        <xdr:cNvPr id="24" name="Chart 23">
          <a:extLst>
            <a:ext uri="{FF2B5EF4-FFF2-40B4-BE49-F238E27FC236}">
              <a16:creationId xmlns:a16="http://schemas.microsoft.com/office/drawing/2014/main" id="{9D52CDF8-AEB0-4E68-8F93-71E15C098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499838</xdr:colOff>
      <xdr:row>26</xdr:row>
      <xdr:rowOff>22860</xdr:rowOff>
    </xdr:from>
    <xdr:to>
      <xdr:col>6</xdr:col>
      <xdr:colOff>73118</xdr:colOff>
      <xdr:row>27</xdr:row>
      <xdr:rowOff>106680</xdr:rowOff>
    </xdr:to>
    <xdr:sp macro="" textlink="Processing!K13">
      <xdr:nvSpPr>
        <xdr:cNvPr id="26" name="TextBox 25">
          <a:extLst>
            <a:ext uri="{FF2B5EF4-FFF2-40B4-BE49-F238E27FC236}">
              <a16:creationId xmlns:a16="http://schemas.microsoft.com/office/drawing/2014/main" id="{CCD3CD70-C4C0-1546-C721-C3C86BB64FE0}"/>
            </a:ext>
          </a:extLst>
        </xdr:cNvPr>
        <xdr:cNvSpPr txBox="1"/>
      </xdr:nvSpPr>
      <xdr:spPr>
        <a:xfrm>
          <a:off x="1719038" y="4777740"/>
          <a:ext cx="2011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92D349-F45C-4EB4-BB2E-BC9E3C0EFEA4}" type="TxLink">
            <a:rPr lang="en-US" sz="1400" b="0" i="0" u="none" strike="noStrike">
              <a:solidFill>
                <a:srgbClr val="000000"/>
              </a:solidFill>
              <a:latin typeface="Aptos Narrow"/>
              <a:ea typeface="+mn-ea"/>
              <a:cs typeface="+mn-cs"/>
            </a:rPr>
            <a:pPr marL="0" indent="0" algn="ctr"/>
            <a:t>Agile Execution Metrics</a:t>
          </a:fld>
          <a:endParaRPr lang="ru-RU" sz="1400" b="0" i="0" u="none" strike="noStrike">
            <a:solidFill>
              <a:srgbClr val="000000"/>
            </a:solidFill>
            <a:latin typeface="Aptos Narrow"/>
            <a:ea typeface="+mn-ea"/>
            <a:cs typeface="+mn-cs"/>
          </a:endParaRPr>
        </a:p>
      </xdr:txBody>
    </xdr:sp>
    <xdr:clientData/>
  </xdr:twoCellAnchor>
  <xdr:twoCellAnchor>
    <xdr:from>
      <xdr:col>18</xdr:col>
      <xdr:colOff>182693</xdr:colOff>
      <xdr:row>6</xdr:row>
      <xdr:rowOff>99499</xdr:rowOff>
    </xdr:from>
    <xdr:to>
      <xdr:col>21</xdr:col>
      <xdr:colOff>91253</xdr:colOff>
      <xdr:row>16</xdr:row>
      <xdr:rowOff>8059</xdr:rowOff>
    </xdr:to>
    <xdr:graphicFrame macro="">
      <xdr:nvGraphicFramePr>
        <xdr:cNvPr id="27" name="Chart 26">
          <a:extLst>
            <a:ext uri="{FF2B5EF4-FFF2-40B4-BE49-F238E27FC236}">
              <a16:creationId xmlns:a16="http://schemas.microsoft.com/office/drawing/2014/main" id="{078301B8-E082-4D25-92C6-EBF2ABC3D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19402</xdr:colOff>
      <xdr:row>4</xdr:row>
      <xdr:rowOff>137160</xdr:rowOff>
    </xdr:from>
    <xdr:to>
      <xdr:col>21</xdr:col>
      <xdr:colOff>254544</xdr:colOff>
      <xdr:row>6</xdr:row>
      <xdr:rowOff>38100</xdr:rowOff>
    </xdr:to>
    <xdr:sp macro="" textlink="Processing!G4">
      <xdr:nvSpPr>
        <xdr:cNvPr id="28" name="TextBox 27">
          <a:extLst>
            <a:ext uri="{FF2B5EF4-FFF2-40B4-BE49-F238E27FC236}">
              <a16:creationId xmlns:a16="http://schemas.microsoft.com/office/drawing/2014/main" id="{EB678D38-D815-D53F-98FD-DAE48DDEF70F}"/>
            </a:ext>
          </a:extLst>
        </xdr:cNvPr>
        <xdr:cNvSpPr txBox="1"/>
      </xdr:nvSpPr>
      <xdr:spPr>
        <a:xfrm>
          <a:off x="10992202" y="868680"/>
          <a:ext cx="206394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FB52F-0D9C-4AB4-8891-70576204203A}" type="TxLink">
            <a:rPr lang="en-US" sz="1800" b="0" i="0" u="none" strike="noStrike">
              <a:solidFill>
                <a:srgbClr val="000000"/>
              </a:solidFill>
              <a:latin typeface="Aptos Narrow"/>
              <a:ea typeface="+mn-ea"/>
              <a:cs typeface="+mn-cs"/>
            </a:rPr>
            <a:pPr marL="0" indent="0" algn="ctr"/>
            <a:t>Team Satisfaction Level</a:t>
          </a:fld>
          <a:endParaRPr lang="ru-RU" sz="1800" b="0" i="0" u="none" strike="noStrike">
            <a:solidFill>
              <a:srgbClr val="000000"/>
            </a:solidFill>
            <a:latin typeface="Aptos Narrow"/>
            <a:ea typeface="+mn-ea"/>
            <a:cs typeface="+mn-cs"/>
          </a:endParaRPr>
        </a:p>
      </xdr:txBody>
    </xdr:sp>
    <xdr:clientData/>
  </xdr:twoCellAnchor>
  <xdr:twoCellAnchor>
    <xdr:from>
      <xdr:col>18</xdr:col>
      <xdr:colOff>552509</xdr:colOff>
      <xdr:row>9</xdr:row>
      <xdr:rowOff>57984</xdr:rowOff>
    </xdr:from>
    <xdr:to>
      <xdr:col>20</xdr:col>
      <xdr:colOff>344001</xdr:colOff>
      <xdr:row>13</xdr:row>
      <xdr:rowOff>18217</xdr:rowOff>
    </xdr:to>
    <xdr:sp macro="" textlink="Processing!G5">
      <xdr:nvSpPr>
        <xdr:cNvPr id="29" name="TextBox 28">
          <a:extLst>
            <a:ext uri="{FF2B5EF4-FFF2-40B4-BE49-F238E27FC236}">
              <a16:creationId xmlns:a16="http://schemas.microsoft.com/office/drawing/2014/main" id="{920FAB4D-57DF-B162-F415-917732977C0E}"/>
            </a:ext>
          </a:extLst>
        </xdr:cNvPr>
        <xdr:cNvSpPr txBox="1"/>
      </xdr:nvSpPr>
      <xdr:spPr>
        <a:xfrm>
          <a:off x="11525309" y="1703904"/>
          <a:ext cx="1010692" cy="69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F4CB11-2AD8-4F87-B113-8988FBD0B801}" type="TxLink">
            <a:rPr lang="en-US" sz="2800" b="0" i="0" u="none" strike="noStrike">
              <a:solidFill>
                <a:srgbClr val="000000"/>
              </a:solidFill>
              <a:latin typeface="Aptos Narrow"/>
              <a:ea typeface="+mn-ea"/>
              <a:cs typeface="+mn-cs"/>
            </a:rPr>
            <a:pPr marL="0" indent="0" algn="ctr"/>
            <a:t>92%</a:t>
          </a:fld>
          <a:endParaRPr lang="ru-RU" sz="6000" b="0" i="0" u="none" strike="noStrike">
            <a:solidFill>
              <a:srgbClr val="000000"/>
            </a:solidFill>
            <a:latin typeface="Aptos Narrow"/>
            <a:ea typeface="+mn-ea"/>
            <a:cs typeface="+mn-cs"/>
          </a:endParaRPr>
        </a:p>
      </xdr:txBody>
    </xdr:sp>
    <xdr:clientData/>
  </xdr:twoCellAnchor>
  <xdr:twoCellAnchor>
    <xdr:from>
      <xdr:col>18</xdr:col>
      <xdr:colOff>385877</xdr:colOff>
      <xdr:row>19</xdr:row>
      <xdr:rowOff>85842</xdr:rowOff>
    </xdr:from>
    <xdr:to>
      <xdr:col>20</xdr:col>
      <xdr:colOff>538277</xdr:colOff>
      <xdr:row>26</xdr:row>
      <xdr:rowOff>177282</xdr:rowOff>
    </xdr:to>
    <xdr:graphicFrame macro="">
      <xdr:nvGraphicFramePr>
        <xdr:cNvPr id="32" name="Chart 31">
          <a:extLst>
            <a:ext uri="{FF2B5EF4-FFF2-40B4-BE49-F238E27FC236}">
              <a16:creationId xmlns:a16="http://schemas.microsoft.com/office/drawing/2014/main" id="{E0690D27-8F73-4A6C-9658-3EF891BA9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243687</xdr:colOff>
      <xdr:row>18</xdr:row>
      <xdr:rowOff>117348</xdr:rowOff>
    </xdr:from>
    <xdr:to>
      <xdr:col>22</xdr:col>
      <xdr:colOff>98907</xdr:colOff>
      <xdr:row>28</xdr:row>
      <xdr:rowOff>30480</xdr:rowOff>
    </xdr:to>
    <xdr:graphicFrame macro="">
      <xdr:nvGraphicFramePr>
        <xdr:cNvPr id="30" name="Chart 29">
          <a:extLst>
            <a:ext uri="{FF2B5EF4-FFF2-40B4-BE49-F238E27FC236}">
              <a16:creationId xmlns:a16="http://schemas.microsoft.com/office/drawing/2014/main" id="{8B2A1439-4948-4229-817F-C067AB0B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18</xdr:row>
      <xdr:rowOff>53340</xdr:rowOff>
    </xdr:from>
    <xdr:to>
      <xdr:col>18</xdr:col>
      <xdr:colOff>480060</xdr:colOff>
      <xdr:row>19</xdr:row>
      <xdr:rowOff>137160</xdr:rowOff>
    </xdr:to>
    <xdr:sp macro="" textlink="Processing!M1">
      <xdr:nvSpPr>
        <xdr:cNvPr id="31" name="TextBox 30">
          <a:extLst>
            <a:ext uri="{FF2B5EF4-FFF2-40B4-BE49-F238E27FC236}">
              <a16:creationId xmlns:a16="http://schemas.microsoft.com/office/drawing/2014/main" id="{D07BF627-C91F-D927-A862-A07E6AF392EA}"/>
            </a:ext>
          </a:extLst>
        </xdr:cNvPr>
        <xdr:cNvSpPr txBox="1"/>
      </xdr:nvSpPr>
      <xdr:spPr>
        <a:xfrm>
          <a:off x="10515600" y="3345180"/>
          <a:ext cx="9372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E125E04-4F88-4B48-AADD-B1CE82772CF2}" type="TxLink">
            <a:rPr lang="en-US" sz="1400" b="0" i="0" u="none" strike="noStrike">
              <a:solidFill>
                <a:srgbClr val="000000"/>
              </a:solidFill>
              <a:latin typeface="Aptos Narrow"/>
              <a:ea typeface="+mn-ea"/>
              <a:cs typeface="+mn-cs"/>
            </a:rPr>
            <a:pPr marL="0" indent="0"/>
            <a:t>Sources</a:t>
          </a:fld>
          <a:endParaRPr lang="ru-RU" sz="1400" b="0" i="0" u="none" strike="noStrike">
            <a:solidFill>
              <a:srgbClr val="000000"/>
            </a:solidFill>
            <a:latin typeface="Aptos Narrow"/>
            <a:ea typeface="+mn-ea"/>
            <a:cs typeface="+mn-cs"/>
          </a:endParaRPr>
        </a:p>
      </xdr:txBody>
    </xdr:sp>
    <xdr:clientData/>
  </xdr:twoCellAnchor>
  <xdr:twoCellAnchor>
    <xdr:from>
      <xdr:col>16</xdr:col>
      <xdr:colOff>342900</xdr:colOff>
      <xdr:row>28</xdr:row>
      <xdr:rowOff>158645</xdr:rowOff>
    </xdr:from>
    <xdr:to>
      <xdr:col>22</xdr:col>
      <xdr:colOff>342900</xdr:colOff>
      <xdr:row>38</xdr:row>
      <xdr:rowOff>155445</xdr:rowOff>
    </xdr:to>
    <xdr:graphicFrame macro="">
      <xdr:nvGraphicFramePr>
        <xdr:cNvPr id="34" name="Chart 33">
          <a:extLst>
            <a:ext uri="{FF2B5EF4-FFF2-40B4-BE49-F238E27FC236}">
              <a16:creationId xmlns:a16="http://schemas.microsoft.com/office/drawing/2014/main" id="{FA8A4EA0-52CE-45F9-A041-9F2BE7AF1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304800</xdr:colOff>
      <xdr:row>29</xdr:row>
      <xdr:rowOff>76200</xdr:rowOff>
    </xdr:from>
    <xdr:to>
      <xdr:col>22</xdr:col>
      <xdr:colOff>182880</xdr:colOff>
      <xdr:row>30</xdr:row>
      <xdr:rowOff>160020</xdr:rowOff>
    </xdr:to>
    <xdr:sp macro="" textlink="Processing!L8">
      <xdr:nvSpPr>
        <xdr:cNvPr id="35" name="TextBox 34">
          <a:extLst>
            <a:ext uri="{FF2B5EF4-FFF2-40B4-BE49-F238E27FC236}">
              <a16:creationId xmlns:a16="http://schemas.microsoft.com/office/drawing/2014/main" id="{84CF12C7-4678-9C26-ADD5-7A149753B87B}"/>
            </a:ext>
          </a:extLst>
        </xdr:cNvPr>
        <xdr:cNvSpPr txBox="1"/>
      </xdr:nvSpPr>
      <xdr:spPr>
        <a:xfrm>
          <a:off x="12496800" y="537972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5EFC44-6316-455D-A093-E0FE5BC3D368}" type="TxLink">
            <a:rPr lang="en-US" sz="1400" b="0" i="0" u="none" strike="noStrike">
              <a:solidFill>
                <a:srgbClr val="000000"/>
              </a:solidFill>
              <a:latin typeface="Aptos Narrow"/>
              <a:ea typeface="+mn-ea"/>
              <a:cs typeface="+mn-cs"/>
            </a:rPr>
            <a:pPr marL="0" indent="0"/>
            <a:t>Task Status</a:t>
          </a:fld>
          <a:endParaRPr lang="ru-RU" sz="1400" b="0" i="0" u="none" strike="noStrike">
            <a:solidFill>
              <a:srgbClr val="000000"/>
            </a:solidFill>
            <a:latin typeface="Aptos Narrow"/>
            <a:ea typeface="+mn-ea"/>
            <a:cs typeface="+mn-cs"/>
          </a:endParaRPr>
        </a:p>
      </xdr:txBody>
    </xdr:sp>
    <xdr:clientData/>
  </xdr:twoCellAnchor>
  <xdr:twoCellAnchor>
    <xdr:from>
      <xdr:col>5</xdr:col>
      <xdr:colOff>140278</xdr:colOff>
      <xdr:row>19</xdr:row>
      <xdr:rowOff>123825</xdr:rowOff>
    </xdr:from>
    <xdr:to>
      <xdr:col>7</xdr:col>
      <xdr:colOff>202623</xdr:colOff>
      <xdr:row>21</xdr:row>
      <xdr:rowOff>51435</xdr:rowOff>
    </xdr:to>
    <xdr:sp macro="" textlink="Processing!J7">
      <xdr:nvSpPr>
        <xdr:cNvPr id="37" name="TextBox 36">
          <a:extLst>
            <a:ext uri="{FF2B5EF4-FFF2-40B4-BE49-F238E27FC236}">
              <a16:creationId xmlns:a16="http://schemas.microsoft.com/office/drawing/2014/main" id="{355BC8EB-F4EF-BE00-3D46-EB459E9D5906}"/>
            </a:ext>
          </a:extLst>
        </xdr:cNvPr>
        <xdr:cNvSpPr txBox="1"/>
      </xdr:nvSpPr>
      <xdr:spPr>
        <a:xfrm>
          <a:off x="3188278" y="359854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C411B-C7EB-4A73-8525-27559A138AB9}" type="TxLink">
            <a:rPr lang="en-US" sz="1400" b="0" i="0" u="none" strike="noStrike">
              <a:solidFill>
                <a:srgbClr val="000000"/>
              </a:solidFill>
              <a:latin typeface="Aptos Narrow"/>
              <a:ea typeface="+mn-ea"/>
              <a:cs typeface="+mn-cs"/>
            </a:rPr>
            <a:pPr marL="0" indent="0" algn="ctr"/>
            <a:t>Plan</a:t>
          </a:fld>
          <a:endParaRPr lang="ru-RU" sz="1400" b="0" i="0" u="none" strike="noStrike">
            <a:solidFill>
              <a:srgbClr val="000000"/>
            </a:solidFill>
            <a:latin typeface="Aptos Narrow"/>
            <a:ea typeface="+mn-ea"/>
            <a:cs typeface="+mn-cs"/>
          </a:endParaRPr>
        </a:p>
      </xdr:txBody>
    </xdr:sp>
    <xdr:clientData/>
  </xdr:twoCellAnchor>
  <xdr:twoCellAnchor>
    <xdr:from>
      <xdr:col>5</xdr:col>
      <xdr:colOff>383181</xdr:colOff>
      <xdr:row>20</xdr:row>
      <xdr:rowOff>110472</xdr:rowOff>
    </xdr:from>
    <xdr:to>
      <xdr:col>6</xdr:col>
      <xdr:colOff>569320</xdr:colOff>
      <xdr:row>23</xdr:row>
      <xdr:rowOff>34308</xdr:rowOff>
    </xdr:to>
    <xdr:sp macro="" textlink="Processing!J8">
      <xdr:nvSpPr>
        <xdr:cNvPr id="38" name="TextBox 37">
          <a:extLst>
            <a:ext uri="{FF2B5EF4-FFF2-40B4-BE49-F238E27FC236}">
              <a16:creationId xmlns:a16="http://schemas.microsoft.com/office/drawing/2014/main" id="{15EDE137-2FC6-152C-9577-BA43035C09DA}"/>
            </a:ext>
          </a:extLst>
        </xdr:cNvPr>
        <xdr:cNvSpPr txBox="1"/>
      </xdr:nvSpPr>
      <xdr:spPr>
        <a:xfrm>
          <a:off x="3431181" y="3768072"/>
          <a:ext cx="795739"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F6A7DD-C5CC-4A1C-9B05-8348013E19D2}" type="TxLink">
            <a:rPr lang="en-US" sz="2400" b="0" i="0" u="none" strike="noStrike">
              <a:solidFill>
                <a:srgbClr val="000000"/>
              </a:solidFill>
              <a:latin typeface="Aptos Narrow"/>
              <a:ea typeface="+mn-ea"/>
              <a:cs typeface="+mn-cs"/>
            </a:rPr>
            <a:pPr marL="0" indent="0" algn="ctr"/>
            <a:t>15</a:t>
          </a:fld>
          <a:endParaRPr lang="ru-RU" sz="3200" b="0" i="0" u="none" strike="noStrike">
            <a:solidFill>
              <a:srgbClr val="000000"/>
            </a:solidFill>
            <a:latin typeface="Aptos Narrow"/>
            <a:ea typeface="+mn-ea"/>
            <a:cs typeface="+mn-cs"/>
          </a:endParaRPr>
        </a:p>
      </xdr:txBody>
    </xdr:sp>
    <xdr:clientData/>
  </xdr:twoCellAnchor>
  <xdr:twoCellAnchor>
    <xdr:from>
      <xdr:col>8</xdr:col>
      <xdr:colOff>129453</xdr:colOff>
      <xdr:row>21</xdr:row>
      <xdr:rowOff>22860</xdr:rowOff>
    </xdr:from>
    <xdr:to>
      <xdr:col>16</xdr:col>
      <xdr:colOff>98973</xdr:colOff>
      <xdr:row>36</xdr:row>
      <xdr:rowOff>114300</xdr:rowOff>
    </xdr:to>
    <xdr:graphicFrame macro="">
      <xdr:nvGraphicFramePr>
        <xdr:cNvPr id="19" name="Chart 18">
          <a:extLst>
            <a:ext uri="{FF2B5EF4-FFF2-40B4-BE49-F238E27FC236}">
              <a16:creationId xmlns:a16="http://schemas.microsoft.com/office/drawing/2014/main" id="{FBE5E0E9-97B0-4A6E-9386-35D8635BF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251460</xdr:colOff>
      <xdr:row>21</xdr:row>
      <xdr:rowOff>53340</xdr:rowOff>
    </xdr:from>
    <xdr:to>
      <xdr:col>11</xdr:col>
      <xdr:colOff>449580</xdr:colOff>
      <xdr:row>22</xdr:row>
      <xdr:rowOff>137160</xdr:rowOff>
    </xdr:to>
    <xdr:sp macro="" textlink="Processing!A16">
      <xdr:nvSpPr>
        <xdr:cNvPr id="23" name="TextBox 22">
          <a:extLst>
            <a:ext uri="{FF2B5EF4-FFF2-40B4-BE49-F238E27FC236}">
              <a16:creationId xmlns:a16="http://schemas.microsoft.com/office/drawing/2014/main" id="{9A26C2AA-80B9-3EAC-60CD-F9CC8A229BC8}"/>
            </a:ext>
          </a:extLst>
        </xdr:cNvPr>
        <xdr:cNvSpPr txBox="1"/>
      </xdr:nvSpPr>
      <xdr:spPr>
        <a:xfrm>
          <a:off x="5128260" y="3893820"/>
          <a:ext cx="2026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F32E873-3ADB-4C8A-9118-F04ACFD88E77}" type="TxLink">
            <a:rPr lang="en-US" sz="1400" b="0" i="0" u="none" strike="noStrike">
              <a:solidFill>
                <a:srgbClr val="000000"/>
              </a:solidFill>
              <a:latin typeface="Aptos Narrow"/>
              <a:ea typeface="+mn-ea"/>
              <a:cs typeface="+mn-cs"/>
            </a:rPr>
            <a:pPr marL="0" indent="0"/>
            <a:t>Epic Burndown Chart</a:t>
          </a:fld>
          <a:endParaRPr lang="ru-RU" sz="1400" b="0" i="0" u="none" strike="noStrike">
            <a:solidFill>
              <a:srgbClr val="000000"/>
            </a:solidFill>
            <a:latin typeface="Aptos Narrow"/>
            <a:ea typeface="+mn-ea"/>
            <a:cs typeface="+mn-cs"/>
          </a:endParaRPr>
        </a:p>
      </xdr:txBody>
    </xdr:sp>
    <xdr:clientData/>
  </xdr:twoCellAnchor>
  <xdr:twoCellAnchor>
    <xdr:from>
      <xdr:col>15</xdr:col>
      <xdr:colOff>160020</xdr:colOff>
      <xdr:row>21</xdr:row>
      <xdr:rowOff>38100</xdr:rowOff>
    </xdr:from>
    <xdr:to>
      <xdr:col>16</xdr:col>
      <xdr:colOff>91440</xdr:colOff>
      <xdr:row>22</xdr:row>
      <xdr:rowOff>121920</xdr:rowOff>
    </xdr:to>
    <xdr:sp macro="" textlink="Processing!E15">
      <xdr:nvSpPr>
        <xdr:cNvPr id="25" name="TextBox 24">
          <a:extLst>
            <a:ext uri="{FF2B5EF4-FFF2-40B4-BE49-F238E27FC236}">
              <a16:creationId xmlns:a16="http://schemas.microsoft.com/office/drawing/2014/main" id="{4924427D-F6D0-9060-0137-50204254546C}"/>
            </a:ext>
          </a:extLst>
        </xdr:cNvPr>
        <xdr:cNvSpPr txBox="1"/>
      </xdr:nvSpPr>
      <xdr:spPr>
        <a:xfrm>
          <a:off x="9304020" y="3878580"/>
          <a:ext cx="541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B1770A8-069D-4659-9A65-E76906993056}" type="TxLink">
            <a:rPr lang="en-US" sz="1600" b="0" i="0" u="none" strike="noStrike">
              <a:solidFill>
                <a:srgbClr val="000000"/>
              </a:solidFill>
              <a:latin typeface="Aptos Narrow"/>
              <a:ea typeface="+mn-ea"/>
              <a:cs typeface="+mn-cs"/>
            </a:rPr>
            <a:pPr marL="0" indent="0" algn="r"/>
            <a:t>10</a:t>
          </a:fld>
          <a:endParaRPr lang="ru-RU" sz="2000" b="0" i="0" u="none" strike="noStrike">
            <a:solidFill>
              <a:srgbClr val="000000"/>
            </a:solidFill>
            <a:latin typeface="Aptos Narrow"/>
            <a:ea typeface="+mn-ea"/>
            <a:cs typeface="+mn-cs"/>
          </a:endParaRPr>
        </a:p>
      </xdr:txBody>
    </xdr:sp>
    <xdr:clientData/>
  </xdr:twoCellAnchor>
  <xdr:twoCellAnchor>
    <xdr:from>
      <xdr:col>15</xdr:col>
      <xdr:colOff>167640</xdr:colOff>
      <xdr:row>23</xdr:row>
      <xdr:rowOff>7620</xdr:rowOff>
    </xdr:from>
    <xdr:to>
      <xdr:col>16</xdr:col>
      <xdr:colOff>83820</xdr:colOff>
      <xdr:row>24</xdr:row>
      <xdr:rowOff>91440</xdr:rowOff>
    </xdr:to>
    <xdr:sp macro="" textlink="Processing!D15">
      <xdr:nvSpPr>
        <xdr:cNvPr id="33" name="TextBox 32">
          <a:extLst>
            <a:ext uri="{FF2B5EF4-FFF2-40B4-BE49-F238E27FC236}">
              <a16:creationId xmlns:a16="http://schemas.microsoft.com/office/drawing/2014/main" id="{4CA4F422-2CFB-C7EA-FD45-F053B7372FE9}"/>
            </a:ext>
          </a:extLst>
        </xdr:cNvPr>
        <xdr:cNvSpPr txBox="1"/>
      </xdr:nvSpPr>
      <xdr:spPr>
        <a:xfrm>
          <a:off x="9311640" y="4213860"/>
          <a:ext cx="5257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9D9609-5543-4661-AF64-0F06822367A2}" type="TxLink">
            <a:rPr lang="en-US" sz="1600" b="0" i="0" u="none" strike="noStrike">
              <a:solidFill>
                <a:srgbClr val="000000"/>
              </a:solidFill>
              <a:latin typeface="Aptos Narrow"/>
              <a:ea typeface="+mn-ea"/>
              <a:cs typeface="+mn-cs"/>
            </a:rPr>
            <a:pPr marL="0" indent="0" algn="r"/>
            <a:t>29</a:t>
          </a:fld>
          <a:endParaRPr lang="ru-RU" sz="1600" b="0" i="0" u="none" strike="noStrike">
            <a:solidFill>
              <a:srgbClr val="000000"/>
            </a:solidFill>
            <a:latin typeface="Aptos Narrow"/>
            <a:ea typeface="+mn-ea"/>
            <a:cs typeface="+mn-cs"/>
          </a:endParaRPr>
        </a:p>
      </xdr:txBody>
    </xdr:sp>
    <xdr:clientData/>
  </xdr:twoCellAnchor>
  <xdr:twoCellAnchor>
    <xdr:from>
      <xdr:col>15</xdr:col>
      <xdr:colOff>53340</xdr:colOff>
      <xdr:row>24</xdr:row>
      <xdr:rowOff>152400</xdr:rowOff>
    </xdr:from>
    <xdr:to>
      <xdr:col>16</xdr:col>
      <xdr:colOff>83820</xdr:colOff>
      <xdr:row>26</xdr:row>
      <xdr:rowOff>53340</xdr:rowOff>
    </xdr:to>
    <xdr:sp macro="" textlink="Processing!C15">
      <xdr:nvSpPr>
        <xdr:cNvPr id="36" name="TextBox 35">
          <a:extLst>
            <a:ext uri="{FF2B5EF4-FFF2-40B4-BE49-F238E27FC236}">
              <a16:creationId xmlns:a16="http://schemas.microsoft.com/office/drawing/2014/main" id="{33ABFDD6-6D03-B1A5-767B-2E9E7BB89EFC}"/>
            </a:ext>
          </a:extLst>
        </xdr:cNvPr>
        <xdr:cNvSpPr txBox="1"/>
      </xdr:nvSpPr>
      <xdr:spPr>
        <a:xfrm>
          <a:off x="9197340" y="4541520"/>
          <a:ext cx="6400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033EE58-0A3F-4CF6-B901-59FDEEA2D4F5}" type="TxLink">
            <a:rPr lang="en-US" sz="1600" b="0" i="0" u="none" strike="noStrike">
              <a:solidFill>
                <a:srgbClr val="000000"/>
              </a:solidFill>
              <a:latin typeface="Aptos Narrow"/>
              <a:ea typeface="+mn-ea"/>
              <a:cs typeface="+mn-cs"/>
            </a:rPr>
            <a:pPr marL="0" indent="0" algn="r"/>
            <a:t>8</a:t>
          </a:fld>
          <a:endParaRPr lang="ru-RU" sz="1600" b="0" i="0" u="none" strike="noStrike">
            <a:solidFill>
              <a:srgbClr val="000000"/>
            </a:solidFill>
            <a:latin typeface="Aptos Narrow"/>
            <a:ea typeface="+mn-ea"/>
            <a:cs typeface="+mn-cs"/>
          </a:endParaRPr>
        </a:p>
      </xdr:txBody>
    </xdr:sp>
    <xdr:clientData/>
  </xdr:twoCellAnchor>
  <xdr:twoCellAnchor editAs="oneCell">
    <xdr:from>
      <xdr:col>2</xdr:col>
      <xdr:colOff>7620</xdr:colOff>
      <xdr:row>10</xdr:row>
      <xdr:rowOff>68581</xdr:rowOff>
    </xdr:from>
    <xdr:to>
      <xdr:col>5</xdr:col>
      <xdr:colOff>7620</xdr:colOff>
      <xdr:row>12</xdr:row>
      <xdr:rowOff>132589</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6F31579A-6D46-471F-8E7B-2EB461FCEC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6820" y="1897381"/>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17</xdr:row>
      <xdr:rowOff>1</xdr:rowOff>
    </xdr:from>
    <xdr:to>
      <xdr:col>16</xdr:col>
      <xdr:colOff>213360</xdr:colOff>
      <xdr:row>19</xdr:row>
      <xdr:rowOff>1</xdr:rowOff>
    </xdr:to>
    <mc:AlternateContent xmlns:mc="http://schemas.openxmlformats.org/markup-compatibility/2006" xmlns:a14="http://schemas.microsoft.com/office/drawing/2010/main">
      <mc:Choice Requires="a14">
        <xdr:graphicFrame macro="">
          <xdr:nvGraphicFramePr>
            <xdr:cNvPr id="40" name="Month">
              <a:extLst>
                <a:ext uri="{FF2B5EF4-FFF2-40B4-BE49-F238E27FC236}">
                  <a16:creationId xmlns:a16="http://schemas.microsoft.com/office/drawing/2014/main" id="{034E2ACE-BFDE-4B91-BC38-25BD7365D78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03520" y="3108961"/>
              <a:ext cx="4663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350520</xdr:colOff>
      <xdr:row>21</xdr:row>
      <xdr:rowOff>152400</xdr:rowOff>
    </xdr:from>
    <xdr:to>
      <xdr:col>5</xdr:col>
      <xdr:colOff>198120</xdr:colOff>
      <xdr:row>23</xdr:row>
      <xdr:rowOff>152400</xdr:rowOff>
    </xdr:to>
    <mc:AlternateContent xmlns:mc="http://schemas.openxmlformats.org/markup-compatibility/2006" xmlns:a14="http://schemas.microsoft.com/office/drawing/2010/main">
      <mc:Choice Requires="a14">
        <xdr:graphicFrame macro="">
          <xdr:nvGraphicFramePr>
            <xdr:cNvPr id="41" name="Managers">
              <a:extLst>
                <a:ext uri="{FF2B5EF4-FFF2-40B4-BE49-F238E27FC236}">
                  <a16:creationId xmlns:a16="http://schemas.microsoft.com/office/drawing/2014/main" id="{454B0E24-1430-46C9-8C13-421E14DC6360}"/>
                </a:ext>
              </a:extLst>
            </xdr:cNvPr>
            <xdr:cNvGraphicFramePr/>
          </xdr:nvGraphicFramePr>
          <xdr:xfrm>
            <a:off x="0" y="0"/>
            <a:ext cx="0" cy="0"/>
          </xdr:xfrm>
          <a:graphic>
            <a:graphicData uri="http://schemas.microsoft.com/office/drawing/2010/slicer">
              <sle:slicer xmlns:sle="http://schemas.microsoft.com/office/drawing/2010/slicer" name="Managers"/>
            </a:graphicData>
          </a:graphic>
        </xdr:graphicFrame>
      </mc:Choice>
      <mc:Fallback xmlns="">
        <xdr:sp macro="" textlink="">
          <xdr:nvSpPr>
            <xdr:cNvPr id="0" name=""/>
            <xdr:cNvSpPr>
              <a:spLocks noTextEdit="1"/>
            </xdr:cNvSpPr>
          </xdr:nvSpPr>
          <xdr:spPr>
            <a:xfrm>
              <a:off x="960120" y="3992880"/>
              <a:ext cx="228600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220893</xdr:colOff>
      <xdr:row>36</xdr:row>
      <xdr:rowOff>22861</xdr:rowOff>
    </xdr:from>
    <xdr:to>
      <xdr:col>16</xdr:col>
      <xdr:colOff>98973</xdr:colOff>
      <xdr:row>38</xdr:row>
      <xdr:rowOff>22861</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0D443488-239F-2F7F-811D-F1D6ED76ED5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097693" y="6606541"/>
              <a:ext cx="47548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556260</xdr:colOff>
      <xdr:row>4</xdr:row>
      <xdr:rowOff>118110</xdr:rowOff>
    </xdr:from>
    <xdr:to>
      <xdr:col>15</xdr:col>
      <xdr:colOff>30480</xdr:colOff>
      <xdr:row>6</xdr:row>
      <xdr:rowOff>19050</xdr:rowOff>
    </xdr:to>
    <xdr:sp macro="" textlink="Processing!D14">
      <xdr:nvSpPr>
        <xdr:cNvPr id="43" name="TextBox 42">
          <a:extLst>
            <a:ext uri="{FF2B5EF4-FFF2-40B4-BE49-F238E27FC236}">
              <a16:creationId xmlns:a16="http://schemas.microsoft.com/office/drawing/2014/main" id="{97F4088D-AD7A-CDF0-E512-22C923D9146E}"/>
            </a:ext>
          </a:extLst>
        </xdr:cNvPr>
        <xdr:cNvSpPr txBox="1"/>
      </xdr:nvSpPr>
      <xdr:spPr>
        <a:xfrm>
          <a:off x="84810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C28010B-5445-4E21-AC5E-9B7AAFE565CD}" type="TxLink">
            <a:rPr lang="en-US" sz="1600" b="0" i="0" u="none" strike="noStrike">
              <a:solidFill>
                <a:srgbClr val="000000"/>
              </a:solidFill>
              <a:latin typeface="Aptos Narrow"/>
              <a:ea typeface="+mn-ea"/>
              <a:cs typeface="+mn-cs"/>
            </a:rPr>
            <a:pPr marL="0" indent="0" algn="r"/>
            <a:t>-100</a:t>
          </a:fld>
          <a:endParaRPr lang="ru-RU" sz="2000" b="0" i="0" u="none" strike="noStrike">
            <a:solidFill>
              <a:srgbClr val="000000"/>
            </a:solidFill>
            <a:latin typeface="Aptos Narrow"/>
            <a:ea typeface="+mn-ea"/>
            <a:cs typeface="+mn-cs"/>
          </a:endParaRPr>
        </a:p>
      </xdr:txBody>
    </xdr:sp>
    <xdr:clientData/>
  </xdr:twoCellAnchor>
  <xdr:twoCellAnchor>
    <xdr:from>
      <xdr:col>8</xdr:col>
      <xdr:colOff>365760</xdr:colOff>
      <xdr:row>4</xdr:row>
      <xdr:rowOff>118110</xdr:rowOff>
    </xdr:from>
    <xdr:to>
      <xdr:col>9</xdr:col>
      <xdr:colOff>449580</xdr:colOff>
      <xdr:row>6</xdr:row>
      <xdr:rowOff>19050</xdr:rowOff>
    </xdr:to>
    <xdr:sp macro="" textlink="Processing!B14">
      <xdr:nvSpPr>
        <xdr:cNvPr id="44" name="TextBox 43">
          <a:extLst>
            <a:ext uri="{FF2B5EF4-FFF2-40B4-BE49-F238E27FC236}">
              <a16:creationId xmlns:a16="http://schemas.microsoft.com/office/drawing/2014/main" id="{F8A684B1-9B30-B4B8-262A-24F1B398197F}"/>
            </a:ext>
          </a:extLst>
        </xdr:cNvPr>
        <xdr:cNvSpPr txBox="1"/>
      </xdr:nvSpPr>
      <xdr:spPr>
        <a:xfrm>
          <a:off x="52425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40DBD6C-EACD-4C49-8C71-3ED44FF9CA04}" type="TxLink">
            <a:rPr lang="en-US" sz="1600" b="0" i="0" u="none" strike="noStrike">
              <a:solidFill>
                <a:srgbClr val="6FB5EF"/>
              </a:solidFill>
              <a:latin typeface="Aptos Narrow"/>
              <a:ea typeface="+mn-ea"/>
              <a:cs typeface="+mn-cs"/>
            </a:rPr>
            <a:pPr marL="0" indent="0" algn="r"/>
            <a:t>450</a:t>
          </a:fld>
          <a:endParaRPr lang="ru-RU" sz="1600" b="0" i="0" u="none" strike="noStrike">
            <a:solidFill>
              <a:srgbClr val="6FB5EF"/>
            </a:solidFill>
            <a:latin typeface="Aptos Narrow"/>
            <a:ea typeface="+mn-ea"/>
            <a:cs typeface="+mn-cs"/>
          </a:endParaRPr>
        </a:p>
      </xdr:txBody>
    </xdr:sp>
    <xdr:clientData/>
  </xdr:twoCellAnchor>
  <xdr:twoCellAnchor>
    <xdr:from>
      <xdr:col>11</xdr:col>
      <xdr:colOff>472440</xdr:colOff>
      <xdr:row>4</xdr:row>
      <xdr:rowOff>118110</xdr:rowOff>
    </xdr:from>
    <xdr:to>
      <xdr:col>12</xdr:col>
      <xdr:colOff>556260</xdr:colOff>
      <xdr:row>6</xdr:row>
      <xdr:rowOff>19050</xdr:rowOff>
    </xdr:to>
    <xdr:sp macro="" textlink="Processing!C14">
      <xdr:nvSpPr>
        <xdr:cNvPr id="45" name="TextBox 44">
          <a:extLst>
            <a:ext uri="{FF2B5EF4-FFF2-40B4-BE49-F238E27FC236}">
              <a16:creationId xmlns:a16="http://schemas.microsoft.com/office/drawing/2014/main" id="{CD0E95E4-0ADB-E117-D94C-EE4521E6C3C7}"/>
            </a:ext>
          </a:extLst>
        </xdr:cNvPr>
        <xdr:cNvSpPr txBox="1"/>
      </xdr:nvSpPr>
      <xdr:spPr>
        <a:xfrm>
          <a:off x="717804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B0E3DF-E104-47BA-B2FF-6F97CC52C784}" type="TxLink">
            <a:rPr lang="en-US" sz="1600" b="0" i="0" u="none" strike="noStrike">
              <a:solidFill>
                <a:srgbClr val="1C80DA"/>
              </a:solidFill>
              <a:latin typeface="Aptos Narrow"/>
              <a:ea typeface="+mn-ea"/>
              <a:cs typeface="+mn-cs"/>
            </a:rPr>
            <a:pPr marL="0" indent="0" algn="l"/>
            <a:t>550</a:t>
          </a:fld>
          <a:endParaRPr lang="ru-RU" sz="1600" b="0" i="0" u="none" strike="noStrike">
            <a:solidFill>
              <a:srgbClr val="1C80DA"/>
            </a:solidFill>
            <a:latin typeface="Aptos Narrow"/>
            <a:ea typeface="+mn-ea"/>
            <a:cs typeface="+mn-cs"/>
          </a:endParaRPr>
        </a:p>
      </xdr:txBody>
    </xdr:sp>
    <xdr:clientData/>
  </xdr:twoCellAnchor>
  <xdr:twoCellAnchor editAs="oneCell">
    <xdr:from>
      <xdr:col>23</xdr:col>
      <xdr:colOff>104280</xdr:colOff>
      <xdr:row>0</xdr:row>
      <xdr:rowOff>53340</xdr:rowOff>
    </xdr:from>
    <xdr:to>
      <xdr:col>23</xdr:col>
      <xdr:colOff>378600</xdr:colOff>
      <xdr:row>1</xdr:row>
      <xdr:rowOff>144780</xdr:rowOff>
    </xdr:to>
    <xdr:pic>
      <xdr:nvPicPr>
        <xdr:cNvPr id="51" name="Graphic 50" descr="Moon with solid fill">
          <a:hlinkClick xmlns:r="http://schemas.openxmlformats.org/officeDocument/2006/relationships" r:id="rId10"/>
          <a:extLst>
            <a:ext uri="{FF2B5EF4-FFF2-40B4-BE49-F238E27FC236}">
              <a16:creationId xmlns:a16="http://schemas.microsoft.com/office/drawing/2014/main" id="{D34A7CC1-6361-446D-8D2E-CFB84CBAE0D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125080" y="5334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228600</xdr:colOff>
      <xdr:row>2</xdr:row>
      <xdr:rowOff>53340</xdr:rowOff>
    </xdr:to>
    <xdr:sp macro="" textlink="">
      <xdr:nvSpPr>
        <xdr:cNvPr id="47" name="Rectangle 46">
          <a:extLst>
            <a:ext uri="{FF2B5EF4-FFF2-40B4-BE49-F238E27FC236}">
              <a16:creationId xmlns:a16="http://schemas.microsoft.com/office/drawing/2014/main" id="{FEFB1320-9CD2-40F5-91EF-13D3FD0CCE4A}"/>
            </a:ext>
          </a:extLst>
        </xdr:cNvPr>
        <xdr:cNvSpPr/>
      </xdr:nvSpPr>
      <xdr:spPr>
        <a:xfrm>
          <a:off x="0" y="0"/>
          <a:ext cx="838200" cy="419100"/>
        </a:xfrm>
        <a:prstGeom prst="rect">
          <a:avLst/>
        </a:prstGeom>
        <a:solidFill>
          <a:srgbClr val="0609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426720</xdr:colOff>
      <xdr:row>1</xdr:row>
      <xdr:rowOff>121920</xdr:rowOff>
    </xdr:from>
    <xdr:to>
      <xdr:col>23</xdr:col>
      <xdr:colOff>121920</xdr:colOff>
      <xdr:row>40</xdr:row>
      <xdr:rowOff>121920</xdr:rowOff>
    </xdr:to>
    <xdr:sp macro="" textlink="">
      <xdr:nvSpPr>
        <xdr:cNvPr id="2" name="Rectangle: Rounded Corners 1">
          <a:extLst>
            <a:ext uri="{FF2B5EF4-FFF2-40B4-BE49-F238E27FC236}">
              <a16:creationId xmlns:a16="http://schemas.microsoft.com/office/drawing/2014/main" id="{A90B2C23-A524-46EC-ACDC-1FC195B98F86}"/>
            </a:ext>
          </a:extLst>
        </xdr:cNvPr>
        <xdr:cNvSpPr/>
      </xdr:nvSpPr>
      <xdr:spPr>
        <a:xfrm>
          <a:off x="426720" y="304800"/>
          <a:ext cx="13716000" cy="7132320"/>
        </a:xfrm>
        <a:prstGeom prst="roundRect">
          <a:avLst>
            <a:gd name="adj" fmla="val 2729"/>
          </a:avLst>
        </a:prstGeom>
        <a:solidFill>
          <a:srgbClr val="0E1324"/>
        </a:solidFill>
        <a:ln>
          <a:noFill/>
        </a:ln>
        <a:effectLst>
          <a:outerShdw blurRad="127000" dist="2540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3</xdr:row>
      <xdr:rowOff>180951</xdr:rowOff>
    </xdr:from>
    <xdr:to>
      <xdr:col>7</xdr:col>
      <xdr:colOff>400778</xdr:colOff>
      <xdr:row>12</xdr:row>
      <xdr:rowOff>177389</xdr:rowOff>
    </xdr:to>
    <xdr:sp macro="" textlink="Processing!G2">
      <xdr:nvSpPr>
        <xdr:cNvPr id="3" name="Rectangle: Rounded Corners 2">
          <a:extLst>
            <a:ext uri="{FF2B5EF4-FFF2-40B4-BE49-F238E27FC236}">
              <a16:creationId xmlns:a16="http://schemas.microsoft.com/office/drawing/2014/main" id="{DFE07DB9-FA05-4450-9422-9FC55A875D9B}"/>
            </a:ext>
          </a:extLst>
        </xdr:cNvPr>
        <xdr:cNvSpPr/>
      </xdr:nvSpPr>
      <xdr:spPr>
        <a:xfrm>
          <a:off x="781778" y="729591"/>
          <a:ext cx="3886200" cy="1642358"/>
        </a:xfrm>
        <a:prstGeom prst="roundRect">
          <a:avLst>
            <a:gd name="adj" fmla="val 9972"/>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B1B818D-C397-42C0-A2C0-E174DEA228F9}" type="TxLink">
            <a:rPr lang="en-US" sz="3600" b="1" i="0" u="none" strike="noStrike">
              <a:solidFill>
                <a:srgbClr val="B171F9"/>
              </a:solidFill>
              <a:latin typeface="Arial" panose="020B0604020202020204" pitchFamily="34" charset="0"/>
              <a:cs typeface="Arial" panose="020B0604020202020204" pitchFamily="34" charset="0"/>
            </a:rPr>
            <a:pPr algn="l"/>
            <a:t> $6,400 </a:t>
          </a:fld>
          <a:endParaRPr lang="ru-RU" sz="3600" b="1">
            <a:solidFill>
              <a:srgbClr val="B171F9"/>
            </a:solidFill>
            <a:latin typeface="Arial" panose="020B0604020202020204" pitchFamily="34" charset="0"/>
            <a:cs typeface="Arial" panose="020B0604020202020204" pitchFamily="34" charset="0"/>
          </a:endParaRPr>
        </a:p>
      </xdr:txBody>
    </xdr:sp>
    <xdr:clientData/>
  </xdr:twoCellAnchor>
  <xdr:twoCellAnchor>
    <xdr:from>
      <xdr:col>8</xdr:col>
      <xdr:colOff>9455</xdr:colOff>
      <xdr:row>3</xdr:row>
      <xdr:rowOff>180951</xdr:rowOff>
    </xdr:from>
    <xdr:to>
      <xdr:col>16</xdr:col>
      <xdr:colOff>299015</xdr:colOff>
      <xdr:row>19</xdr:row>
      <xdr:rowOff>40037</xdr:rowOff>
    </xdr:to>
    <xdr:sp macro="" textlink="">
      <xdr:nvSpPr>
        <xdr:cNvPr id="4" name="Rectangle: Rounded Corners 3">
          <a:extLst>
            <a:ext uri="{FF2B5EF4-FFF2-40B4-BE49-F238E27FC236}">
              <a16:creationId xmlns:a16="http://schemas.microsoft.com/office/drawing/2014/main" id="{C91EF903-A83A-47EF-ADCA-AEE7C06885A9}"/>
            </a:ext>
          </a:extLst>
        </xdr:cNvPr>
        <xdr:cNvSpPr/>
      </xdr:nvSpPr>
      <xdr:spPr>
        <a:xfrm>
          <a:off x="4886255" y="729591"/>
          <a:ext cx="5166360" cy="2785166"/>
        </a:xfrm>
        <a:prstGeom prst="roundRect">
          <a:avLst>
            <a:gd name="adj" fmla="val 604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517292</xdr:colOff>
      <xdr:row>3</xdr:row>
      <xdr:rowOff>180951</xdr:rowOff>
    </xdr:from>
    <xdr:to>
      <xdr:col>22</xdr:col>
      <xdr:colOff>366254</xdr:colOff>
      <xdr:row>16</xdr:row>
      <xdr:rowOff>102813</xdr:rowOff>
    </xdr:to>
    <xdr:sp macro="" textlink="">
      <xdr:nvSpPr>
        <xdr:cNvPr id="5" name="Rectangle: Rounded Corners 4">
          <a:extLst>
            <a:ext uri="{FF2B5EF4-FFF2-40B4-BE49-F238E27FC236}">
              <a16:creationId xmlns:a16="http://schemas.microsoft.com/office/drawing/2014/main" id="{238EFED6-3ABA-4708-A9A0-C45DE47F1F2D}"/>
            </a:ext>
          </a:extLst>
        </xdr:cNvPr>
        <xdr:cNvSpPr/>
      </xdr:nvSpPr>
      <xdr:spPr>
        <a:xfrm>
          <a:off x="10270892" y="729591"/>
          <a:ext cx="3506562" cy="2299302"/>
        </a:xfrm>
        <a:prstGeom prst="roundRect">
          <a:avLst>
            <a:gd name="adj" fmla="val 638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7533</xdr:colOff>
      <xdr:row>20</xdr:row>
      <xdr:rowOff>62452</xdr:rowOff>
    </xdr:from>
    <xdr:to>
      <xdr:col>16</xdr:col>
      <xdr:colOff>297093</xdr:colOff>
      <xdr:row>38</xdr:row>
      <xdr:rowOff>123760</xdr:rowOff>
    </xdr:to>
    <xdr:sp macro="" textlink="">
      <xdr:nvSpPr>
        <xdr:cNvPr id="6" name="Rectangle: Rounded Corners 5">
          <a:extLst>
            <a:ext uri="{FF2B5EF4-FFF2-40B4-BE49-F238E27FC236}">
              <a16:creationId xmlns:a16="http://schemas.microsoft.com/office/drawing/2014/main" id="{FD1A0C3C-976E-4310-8E37-AFAAB0F95D25}"/>
            </a:ext>
          </a:extLst>
        </xdr:cNvPr>
        <xdr:cNvSpPr/>
      </xdr:nvSpPr>
      <xdr:spPr>
        <a:xfrm>
          <a:off x="4884333" y="3720052"/>
          <a:ext cx="5166360" cy="3353148"/>
        </a:xfrm>
        <a:prstGeom prst="roundRect">
          <a:avLst>
            <a:gd name="adj" fmla="val 604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521136</xdr:colOff>
      <xdr:row>17</xdr:row>
      <xdr:rowOff>124389</xdr:rowOff>
    </xdr:from>
    <xdr:to>
      <xdr:col>22</xdr:col>
      <xdr:colOff>370098</xdr:colOff>
      <xdr:row>27</xdr:row>
      <xdr:rowOff>124389</xdr:rowOff>
    </xdr:to>
    <xdr:sp macro="" textlink="">
      <xdr:nvSpPr>
        <xdr:cNvPr id="7" name="Rectangle: Rounded Corners 6">
          <a:extLst>
            <a:ext uri="{FF2B5EF4-FFF2-40B4-BE49-F238E27FC236}">
              <a16:creationId xmlns:a16="http://schemas.microsoft.com/office/drawing/2014/main" id="{00455759-5114-4A86-A1A9-6627799FD40B}"/>
            </a:ext>
          </a:extLst>
        </xdr:cNvPr>
        <xdr:cNvSpPr/>
      </xdr:nvSpPr>
      <xdr:spPr>
        <a:xfrm>
          <a:off x="10274736" y="3233349"/>
          <a:ext cx="3506562" cy="1828800"/>
        </a:xfrm>
        <a:prstGeom prst="roundRect">
          <a:avLst>
            <a:gd name="adj" fmla="val 9227"/>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513447</xdr:colOff>
      <xdr:row>28</xdr:row>
      <xdr:rowOff>145966</xdr:rowOff>
    </xdr:from>
    <xdr:to>
      <xdr:col>22</xdr:col>
      <xdr:colOff>362409</xdr:colOff>
      <xdr:row>38</xdr:row>
      <xdr:rowOff>123761</xdr:rowOff>
    </xdr:to>
    <xdr:sp macro="" textlink="">
      <xdr:nvSpPr>
        <xdr:cNvPr id="8" name="Rectangle: Rounded Corners 7">
          <a:extLst>
            <a:ext uri="{FF2B5EF4-FFF2-40B4-BE49-F238E27FC236}">
              <a16:creationId xmlns:a16="http://schemas.microsoft.com/office/drawing/2014/main" id="{9D590DE6-AEAA-4EF2-B485-21F9203A5622}"/>
            </a:ext>
          </a:extLst>
        </xdr:cNvPr>
        <xdr:cNvSpPr/>
      </xdr:nvSpPr>
      <xdr:spPr>
        <a:xfrm>
          <a:off x="10267047" y="5266606"/>
          <a:ext cx="3506562" cy="1806595"/>
        </a:xfrm>
        <a:prstGeom prst="roundRect">
          <a:avLst>
            <a:gd name="adj" fmla="val 9227"/>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14</xdr:row>
      <xdr:rowOff>20115</xdr:rowOff>
    </xdr:from>
    <xdr:to>
      <xdr:col>7</xdr:col>
      <xdr:colOff>400778</xdr:colOff>
      <xdr:row>24</xdr:row>
      <xdr:rowOff>20115</xdr:rowOff>
    </xdr:to>
    <xdr:sp macro="" textlink="">
      <xdr:nvSpPr>
        <xdr:cNvPr id="9" name="Rectangle: Rounded Corners 8">
          <a:extLst>
            <a:ext uri="{FF2B5EF4-FFF2-40B4-BE49-F238E27FC236}">
              <a16:creationId xmlns:a16="http://schemas.microsoft.com/office/drawing/2014/main" id="{00E75CC4-E38F-4936-93C4-4BE5DE21535B}"/>
            </a:ext>
          </a:extLst>
        </xdr:cNvPr>
        <xdr:cNvSpPr/>
      </xdr:nvSpPr>
      <xdr:spPr>
        <a:xfrm>
          <a:off x="781778" y="2580435"/>
          <a:ext cx="3886200" cy="1828800"/>
        </a:xfrm>
        <a:prstGeom prst="roundRect">
          <a:avLst>
            <a:gd name="adj" fmla="val 888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25</xdr:row>
      <xdr:rowOff>45720</xdr:rowOff>
    </xdr:from>
    <xdr:to>
      <xdr:col>7</xdr:col>
      <xdr:colOff>400778</xdr:colOff>
      <xdr:row>38</xdr:row>
      <xdr:rowOff>123760</xdr:rowOff>
    </xdr:to>
    <xdr:sp macro="" textlink="">
      <xdr:nvSpPr>
        <xdr:cNvPr id="10" name="Rectangle: Rounded Corners 9">
          <a:extLst>
            <a:ext uri="{FF2B5EF4-FFF2-40B4-BE49-F238E27FC236}">
              <a16:creationId xmlns:a16="http://schemas.microsoft.com/office/drawing/2014/main" id="{DC00EED4-2117-4D2A-BE8D-D59EB07BC27B}"/>
            </a:ext>
          </a:extLst>
        </xdr:cNvPr>
        <xdr:cNvSpPr/>
      </xdr:nvSpPr>
      <xdr:spPr>
        <a:xfrm>
          <a:off x="781778" y="4617720"/>
          <a:ext cx="3886200" cy="2455480"/>
        </a:xfrm>
        <a:prstGeom prst="roundRect">
          <a:avLst>
            <a:gd name="adj" fmla="val 7289"/>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8</xdr:col>
      <xdr:colOff>93861</xdr:colOff>
      <xdr:row>6</xdr:row>
      <xdr:rowOff>38100</xdr:rowOff>
    </xdr:from>
    <xdr:to>
      <xdr:col>16</xdr:col>
      <xdr:colOff>200541</xdr:colOff>
      <xdr:row>18</xdr:row>
      <xdr:rowOff>129540</xdr:rowOff>
    </xdr:to>
    <xdr:graphicFrame macro="">
      <xdr:nvGraphicFramePr>
        <xdr:cNvPr id="11" name="Chart 10">
          <a:extLst>
            <a:ext uri="{FF2B5EF4-FFF2-40B4-BE49-F238E27FC236}">
              <a16:creationId xmlns:a16="http://schemas.microsoft.com/office/drawing/2014/main" id="{A337C34E-7675-4F58-9EAA-7469B8784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434340</xdr:colOff>
      <xdr:row>4</xdr:row>
      <xdr:rowOff>137160</xdr:rowOff>
    </xdr:from>
    <xdr:to>
      <xdr:col>4</xdr:col>
      <xdr:colOff>15240</xdr:colOff>
      <xdr:row>6</xdr:row>
      <xdr:rowOff>38100</xdr:rowOff>
    </xdr:to>
    <xdr:sp macro="" textlink="Processing!G1">
      <xdr:nvSpPr>
        <xdr:cNvPr id="12" name="TextBox 11">
          <a:extLst>
            <a:ext uri="{FF2B5EF4-FFF2-40B4-BE49-F238E27FC236}">
              <a16:creationId xmlns:a16="http://schemas.microsoft.com/office/drawing/2014/main" id="{ABD1042D-28ED-4391-BAB3-DBC09927EB19}"/>
            </a:ext>
          </a:extLst>
        </xdr:cNvPr>
        <xdr:cNvSpPr txBox="1"/>
      </xdr:nvSpPr>
      <xdr:spPr>
        <a:xfrm>
          <a:off x="104394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0336B8F-1C43-4DBC-BC9D-969B6FEFAE84}" type="TxLink">
            <a:rPr lang="en-US" sz="1800" b="0" i="0" u="none" strike="noStrike">
              <a:solidFill>
                <a:schemeClr val="tx2">
                  <a:lumMod val="10000"/>
                  <a:lumOff val="90000"/>
                </a:schemeClr>
              </a:solidFill>
              <a:latin typeface="Aptos Narrow"/>
            </a:rPr>
            <a:pPr/>
            <a:t>Total Budget</a:t>
          </a:fld>
          <a:endParaRPr lang="ru-RU" sz="1800">
            <a:solidFill>
              <a:schemeClr val="tx2">
                <a:lumMod val="10000"/>
                <a:lumOff val="90000"/>
              </a:schemeClr>
            </a:solidFill>
          </a:endParaRPr>
        </a:p>
      </xdr:txBody>
    </xdr:sp>
    <xdr:clientData/>
  </xdr:twoCellAnchor>
  <xdr:twoCellAnchor>
    <xdr:from>
      <xdr:col>5</xdr:col>
      <xdr:colOff>60960</xdr:colOff>
      <xdr:row>4</xdr:row>
      <xdr:rowOff>137160</xdr:rowOff>
    </xdr:from>
    <xdr:to>
      <xdr:col>7</xdr:col>
      <xdr:colOff>251460</xdr:colOff>
      <xdr:row>6</xdr:row>
      <xdr:rowOff>38100</xdr:rowOff>
    </xdr:to>
    <xdr:sp macro="" textlink="Processing!H1">
      <xdr:nvSpPr>
        <xdr:cNvPr id="13" name="TextBox 12">
          <a:extLst>
            <a:ext uri="{FF2B5EF4-FFF2-40B4-BE49-F238E27FC236}">
              <a16:creationId xmlns:a16="http://schemas.microsoft.com/office/drawing/2014/main" id="{0DB1F41D-A367-4F34-A561-9F52823E2710}"/>
            </a:ext>
          </a:extLst>
        </xdr:cNvPr>
        <xdr:cNvSpPr txBox="1"/>
      </xdr:nvSpPr>
      <xdr:spPr>
        <a:xfrm>
          <a:off x="310896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80F93B-0C8B-496B-9603-83EEDC6331BD}" type="TxLink">
            <a:rPr lang="en-US" sz="1800" b="0" i="0" u="none" strike="noStrike">
              <a:solidFill>
                <a:schemeClr val="tx2">
                  <a:lumMod val="10000"/>
                  <a:lumOff val="90000"/>
                </a:schemeClr>
              </a:solidFill>
              <a:latin typeface="Aptos Narrow"/>
              <a:ea typeface="+mn-ea"/>
              <a:cs typeface="+mn-cs"/>
            </a:rPr>
            <a:pPr marL="0" indent="0" algn="ctr"/>
            <a:t>KPI</a:t>
          </a:fld>
          <a:endParaRPr lang="ru-RU" sz="18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176027</xdr:colOff>
      <xdr:row>6</xdr:row>
      <xdr:rowOff>23079</xdr:rowOff>
    </xdr:from>
    <xdr:to>
      <xdr:col>7</xdr:col>
      <xdr:colOff>145547</xdr:colOff>
      <xdr:row>12</xdr:row>
      <xdr:rowOff>114519</xdr:rowOff>
    </xdr:to>
    <xdr:graphicFrame macro="">
      <xdr:nvGraphicFramePr>
        <xdr:cNvPr id="14" name="Chart 13">
          <a:extLst>
            <a:ext uri="{FF2B5EF4-FFF2-40B4-BE49-F238E27FC236}">
              <a16:creationId xmlns:a16="http://schemas.microsoft.com/office/drawing/2014/main" id="{20E5966B-37AE-4132-94AC-7DF9908E9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401376</xdr:colOff>
      <xdr:row>7</xdr:row>
      <xdr:rowOff>182862</xdr:rowOff>
    </xdr:from>
    <xdr:to>
      <xdr:col>6</xdr:col>
      <xdr:colOff>551124</xdr:colOff>
      <xdr:row>10</xdr:row>
      <xdr:rowOff>106698</xdr:rowOff>
    </xdr:to>
    <xdr:sp macro="" textlink="Processing!H2">
      <xdr:nvSpPr>
        <xdr:cNvPr id="15" name="TextBox 14">
          <a:extLst>
            <a:ext uri="{FF2B5EF4-FFF2-40B4-BE49-F238E27FC236}">
              <a16:creationId xmlns:a16="http://schemas.microsoft.com/office/drawing/2014/main" id="{9B4B0345-AD49-4A8D-8CE5-AFA8BD81F9CE}"/>
            </a:ext>
          </a:extLst>
        </xdr:cNvPr>
        <xdr:cNvSpPr txBox="1"/>
      </xdr:nvSpPr>
      <xdr:spPr>
        <a:xfrm>
          <a:off x="3449376" y="1463022"/>
          <a:ext cx="75934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2AC3E1-916B-419A-A6AC-75BEFD38ADBA}" type="TxLink">
            <a:rPr lang="en-US" sz="1600" b="0" i="0" u="none" strike="noStrike">
              <a:solidFill>
                <a:srgbClr val="A0D8FC"/>
              </a:solidFill>
              <a:latin typeface="Aptos Narrow"/>
              <a:ea typeface="+mn-ea"/>
              <a:cs typeface="+mn-cs"/>
            </a:rPr>
            <a:pPr marL="0" indent="0" algn="ctr"/>
            <a:t>67%</a:t>
          </a:fld>
          <a:endParaRPr lang="ru-RU" sz="2800" b="0" i="0" u="none" strike="noStrike">
            <a:solidFill>
              <a:srgbClr val="A0D8FC"/>
            </a:solidFill>
            <a:latin typeface="Aptos Narrow"/>
            <a:ea typeface="+mn-ea"/>
            <a:cs typeface="+mn-cs"/>
          </a:endParaRPr>
        </a:p>
      </xdr:txBody>
    </xdr:sp>
    <xdr:clientData/>
  </xdr:twoCellAnchor>
  <xdr:twoCellAnchor>
    <xdr:from>
      <xdr:col>9</xdr:col>
      <xdr:colOff>403860</xdr:colOff>
      <xdr:row>4</xdr:row>
      <xdr:rowOff>118110</xdr:rowOff>
    </xdr:from>
    <xdr:to>
      <xdr:col>11</xdr:col>
      <xdr:colOff>594360</xdr:colOff>
      <xdr:row>6</xdr:row>
      <xdr:rowOff>19050</xdr:rowOff>
    </xdr:to>
    <xdr:sp macro="" textlink="Processing!A1">
      <xdr:nvSpPr>
        <xdr:cNvPr id="16" name="TextBox 15">
          <a:extLst>
            <a:ext uri="{FF2B5EF4-FFF2-40B4-BE49-F238E27FC236}">
              <a16:creationId xmlns:a16="http://schemas.microsoft.com/office/drawing/2014/main" id="{3F3F7B26-01DA-4D20-9D82-6D8604EB503C}"/>
            </a:ext>
          </a:extLst>
        </xdr:cNvPr>
        <xdr:cNvSpPr txBox="1"/>
      </xdr:nvSpPr>
      <xdr:spPr>
        <a:xfrm>
          <a:off x="5890260" y="84963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D183265-2C3A-4773-A053-86149B3DDDFD}" type="TxLink">
            <a:rPr lang="en-US" sz="1400" b="0" i="0" u="none" strike="noStrike">
              <a:solidFill>
                <a:schemeClr val="tx2">
                  <a:lumMod val="10000"/>
                  <a:lumOff val="90000"/>
                </a:schemeClr>
              </a:solidFill>
              <a:latin typeface="Aptos Narrow"/>
            </a:rPr>
            <a:pPr/>
            <a:t>Budget/Expenses</a:t>
          </a:fld>
          <a:endParaRPr lang="ru-RU" sz="2400">
            <a:solidFill>
              <a:schemeClr val="tx2">
                <a:lumMod val="10000"/>
                <a:lumOff val="90000"/>
              </a:schemeClr>
            </a:solidFill>
          </a:endParaRPr>
        </a:p>
      </xdr:txBody>
    </xdr:sp>
    <xdr:clientData/>
  </xdr:twoCellAnchor>
  <xdr:twoCellAnchor>
    <xdr:from>
      <xdr:col>14</xdr:col>
      <xdr:colOff>556260</xdr:colOff>
      <xdr:row>4</xdr:row>
      <xdr:rowOff>118110</xdr:rowOff>
    </xdr:from>
    <xdr:to>
      <xdr:col>16</xdr:col>
      <xdr:colOff>30480</xdr:colOff>
      <xdr:row>6</xdr:row>
      <xdr:rowOff>19050</xdr:rowOff>
    </xdr:to>
    <xdr:sp macro="" textlink="Processing!D1">
      <xdr:nvSpPr>
        <xdr:cNvPr id="17" name="TextBox 16">
          <a:extLst>
            <a:ext uri="{FF2B5EF4-FFF2-40B4-BE49-F238E27FC236}">
              <a16:creationId xmlns:a16="http://schemas.microsoft.com/office/drawing/2014/main" id="{AD54B043-875E-41C3-B162-B7457CB72779}"/>
            </a:ext>
          </a:extLst>
        </xdr:cNvPr>
        <xdr:cNvSpPr txBox="1"/>
      </xdr:nvSpPr>
      <xdr:spPr>
        <a:xfrm>
          <a:off x="90906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4DE7F5-A931-4E8D-A209-35C405E81C9F}" type="TxLink">
            <a:rPr lang="en-US" sz="1400" b="0" i="0" u="none" strike="noStrike">
              <a:solidFill>
                <a:schemeClr val="tx2">
                  <a:lumMod val="10000"/>
                  <a:lumOff val="90000"/>
                </a:schemeClr>
              </a:solidFill>
              <a:latin typeface="Aptos Narrow"/>
              <a:ea typeface="+mn-ea"/>
              <a:cs typeface="+mn-cs"/>
            </a:rPr>
            <a:pPr marL="0" indent="0" algn="r"/>
            <a:t>Deficit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xdr:col>
      <xdr:colOff>297180</xdr:colOff>
      <xdr:row>15</xdr:row>
      <xdr:rowOff>30480</xdr:rowOff>
    </xdr:from>
    <xdr:to>
      <xdr:col>5</xdr:col>
      <xdr:colOff>236220</xdr:colOff>
      <xdr:row>23</xdr:row>
      <xdr:rowOff>83820</xdr:rowOff>
    </xdr:to>
    <xdr:graphicFrame macro="">
      <xdr:nvGraphicFramePr>
        <xdr:cNvPr id="18" name="Chart 17">
          <a:extLst>
            <a:ext uri="{FF2B5EF4-FFF2-40B4-BE49-F238E27FC236}">
              <a16:creationId xmlns:a16="http://schemas.microsoft.com/office/drawing/2014/main" id="{A0B85170-004D-4874-9523-4B147B028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434340</xdr:colOff>
      <xdr:row>14</xdr:row>
      <xdr:rowOff>167640</xdr:rowOff>
    </xdr:from>
    <xdr:to>
      <xdr:col>4</xdr:col>
      <xdr:colOff>15240</xdr:colOff>
      <xdr:row>16</xdr:row>
      <xdr:rowOff>68580</xdr:rowOff>
    </xdr:to>
    <xdr:sp macro="" textlink="Processing!G1">
      <xdr:nvSpPr>
        <xdr:cNvPr id="19" name="TextBox 18">
          <a:extLst>
            <a:ext uri="{FF2B5EF4-FFF2-40B4-BE49-F238E27FC236}">
              <a16:creationId xmlns:a16="http://schemas.microsoft.com/office/drawing/2014/main" id="{D61A05BC-6F7A-4E72-8710-82A2E59CB5C5}"/>
            </a:ext>
          </a:extLst>
        </xdr:cNvPr>
        <xdr:cNvSpPr txBox="1"/>
      </xdr:nvSpPr>
      <xdr:spPr>
        <a:xfrm>
          <a:off x="1043940" y="272796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B030E9-48B8-49E4-B332-14EA5FCEAE93}" type="TxLink">
            <a:rPr lang="en-US" sz="1400" b="0" i="0" u="none" strike="noStrike">
              <a:solidFill>
                <a:schemeClr val="tx2">
                  <a:lumMod val="10000"/>
                  <a:lumOff val="90000"/>
                </a:schemeClr>
              </a:solidFill>
              <a:latin typeface="Aptos Narrow"/>
              <a:ea typeface="+mn-ea"/>
              <a:cs typeface="+mn-cs"/>
            </a:rPr>
            <a:pPr marL="0" indent="0"/>
            <a:t>Total Budget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140278</xdr:colOff>
      <xdr:row>14</xdr:row>
      <xdr:rowOff>154305</xdr:rowOff>
    </xdr:from>
    <xdr:to>
      <xdr:col>7</xdr:col>
      <xdr:colOff>202623</xdr:colOff>
      <xdr:row>16</xdr:row>
      <xdr:rowOff>81915</xdr:rowOff>
    </xdr:to>
    <xdr:sp macro="" textlink="Processing!H7">
      <xdr:nvSpPr>
        <xdr:cNvPr id="20" name="TextBox 19">
          <a:extLst>
            <a:ext uri="{FF2B5EF4-FFF2-40B4-BE49-F238E27FC236}">
              <a16:creationId xmlns:a16="http://schemas.microsoft.com/office/drawing/2014/main" id="{1BCB8D7F-BE2E-4D20-9960-9B103B4EE714}"/>
            </a:ext>
          </a:extLst>
        </xdr:cNvPr>
        <xdr:cNvSpPr txBox="1"/>
      </xdr:nvSpPr>
      <xdr:spPr>
        <a:xfrm>
          <a:off x="3188278" y="271462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B082CB-0BC3-4C36-A977-F801F26B3497}" type="TxLink">
            <a:rPr lang="en-US" sz="1400" b="0" i="0" u="none" strike="noStrike">
              <a:solidFill>
                <a:schemeClr val="tx2">
                  <a:lumMod val="10000"/>
                  <a:lumOff val="90000"/>
                </a:schemeClr>
              </a:solidFill>
              <a:latin typeface="Aptos Narrow"/>
              <a:ea typeface="+mn-ea"/>
              <a:cs typeface="+mn-cs"/>
            </a:rPr>
            <a:pPr marL="0" indent="0" algn="ctr"/>
            <a:t>Tasks Complet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299628</xdr:colOff>
      <xdr:row>16</xdr:row>
      <xdr:rowOff>0</xdr:rowOff>
    </xdr:from>
    <xdr:to>
      <xdr:col>7</xdr:col>
      <xdr:colOff>43272</xdr:colOff>
      <xdr:row>20</xdr:row>
      <xdr:rowOff>15240</xdr:rowOff>
    </xdr:to>
    <xdr:sp macro="" textlink="Processing!I12">
      <xdr:nvSpPr>
        <xdr:cNvPr id="21" name="TextBox 20">
          <a:extLst>
            <a:ext uri="{FF2B5EF4-FFF2-40B4-BE49-F238E27FC236}">
              <a16:creationId xmlns:a16="http://schemas.microsoft.com/office/drawing/2014/main" id="{C99A8361-2536-4DC8-83D8-6456742DB78A}"/>
            </a:ext>
          </a:extLst>
        </xdr:cNvPr>
        <xdr:cNvSpPr txBox="1"/>
      </xdr:nvSpPr>
      <xdr:spPr>
        <a:xfrm>
          <a:off x="3347628" y="2926080"/>
          <a:ext cx="962844"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D2EDAF-DBED-44BD-B17B-87E0844BE47D}" type="TxLink">
            <a:rPr lang="en-US" sz="3600" b="1" i="0" u="none" strike="noStrike">
              <a:solidFill>
                <a:srgbClr val="B171F9"/>
              </a:solidFill>
              <a:latin typeface="Arial" panose="020B0604020202020204" pitchFamily="34" charset="0"/>
              <a:ea typeface="+mn-ea"/>
              <a:cs typeface="Arial" panose="020B0604020202020204" pitchFamily="34" charset="0"/>
            </a:rPr>
            <a:pPr marL="0" indent="0" algn="ctr"/>
            <a:t>10</a:t>
          </a:fld>
          <a:endParaRPr lang="ru-RU" sz="3600" b="1" i="0" u="none" strike="noStrike">
            <a:solidFill>
              <a:srgbClr val="B171F9"/>
            </a:solidFill>
            <a:latin typeface="Arial" panose="020B0604020202020204" pitchFamily="34" charset="0"/>
            <a:ea typeface="+mn-ea"/>
            <a:cs typeface="Arial" panose="020B0604020202020204" pitchFamily="34" charset="0"/>
          </a:endParaRPr>
        </a:p>
      </xdr:txBody>
    </xdr:sp>
    <xdr:clientData/>
  </xdr:twoCellAnchor>
  <xdr:twoCellAnchor>
    <xdr:from>
      <xdr:col>1</xdr:col>
      <xdr:colOff>419828</xdr:colOff>
      <xdr:row>27</xdr:row>
      <xdr:rowOff>15240</xdr:rowOff>
    </xdr:from>
    <xdr:to>
      <xdr:col>7</xdr:col>
      <xdr:colOff>153128</xdr:colOff>
      <xdr:row>38</xdr:row>
      <xdr:rowOff>26670</xdr:rowOff>
    </xdr:to>
    <xdr:graphicFrame macro="">
      <xdr:nvGraphicFramePr>
        <xdr:cNvPr id="22" name="Chart 21">
          <a:extLst>
            <a:ext uri="{FF2B5EF4-FFF2-40B4-BE49-F238E27FC236}">
              <a16:creationId xmlns:a16="http://schemas.microsoft.com/office/drawing/2014/main" id="{A02E2458-F1CD-40A6-BB10-64F30F712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499838</xdr:colOff>
      <xdr:row>26</xdr:row>
      <xdr:rowOff>22860</xdr:rowOff>
    </xdr:from>
    <xdr:to>
      <xdr:col>6</xdr:col>
      <xdr:colOff>73118</xdr:colOff>
      <xdr:row>27</xdr:row>
      <xdr:rowOff>106680</xdr:rowOff>
    </xdr:to>
    <xdr:sp macro="" textlink="Processing!K13">
      <xdr:nvSpPr>
        <xdr:cNvPr id="23" name="TextBox 22">
          <a:extLst>
            <a:ext uri="{FF2B5EF4-FFF2-40B4-BE49-F238E27FC236}">
              <a16:creationId xmlns:a16="http://schemas.microsoft.com/office/drawing/2014/main" id="{91378669-11FF-4BB6-8B0E-515209CE3CBE}"/>
            </a:ext>
          </a:extLst>
        </xdr:cNvPr>
        <xdr:cNvSpPr txBox="1"/>
      </xdr:nvSpPr>
      <xdr:spPr>
        <a:xfrm>
          <a:off x="1719038" y="4777740"/>
          <a:ext cx="2011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92D349-F45C-4EB4-BB2E-BC9E3C0EFEA4}" type="TxLink">
            <a:rPr lang="en-US" sz="1400" b="0" i="0" u="none" strike="noStrike">
              <a:solidFill>
                <a:schemeClr val="tx2">
                  <a:lumMod val="10000"/>
                  <a:lumOff val="90000"/>
                </a:schemeClr>
              </a:solidFill>
              <a:latin typeface="Aptos Narrow"/>
              <a:ea typeface="+mn-ea"/>
              <a:cs typeface="+mn-cs"/>
            </a:rPr>
            <a:pPr marL="0" indent="0" algn="ctr"/>
            <a:t>Agile Execution Metrics</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18</xdr:col>
      <xdr:colOff>182693</xdr:colOff>
      <xdr:row>6</xdr:row>
      <xdr:rowOff>99499</xdr:rowOff>
    </xdr:from>
    <xdr:to>
      <xdr:col>21</xdr:col>
      <xdr:colOff>91253</xdr:colOff>
      <xdr:row>16</xdr:row>
      <xdr:rowOff>8059</xdr:rowOff>
    </xdr:to>
    <xdr:graphicFrame macro="">
      <xdr:nvGraphicFramePr>
        <xdr:cNvPr id="24" name="Chart 23">
          <a:extLst>
            <a:ext uri="{FF2B5EF4-FFF2-40B4-BE49-F238E27FC236}">
              <a16:creationId xmlns:a16="http://schemas.microsoft.com/office/drawing/2014/main" id="{5DABEFFA-FE9A-4C79-BF41-6CB6F7930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19402</xdr:colOff>
      <xdr:row>4</xdr:row>
      <xdr:rowOff>137160</xdr:rowOff>
    </xdr:from>
    <xdr:to>
      <xdr:col>21</xdr:col>
      <xdr:colOff>254544</xdr:colOff>
      <xdr:row>6</xdr:row>
      <xdr:rowOff>38100</xdr:rowOff>
    </xdr:to>
    <xdr:sp macro="" textlink="Processing!G4">
      <xdr:nvSpPr>
        <xdr:cNvPr id="25" name="TextBox 24">
          <a:extLst>
            <a:ext uri="{FF2B5EF4-FFF2-40B4-BE49-F238E27FC236}">
              <a16:creationId xmlns:a16="http://schemas.microsoft.com/office/drawing/2014/main" id="{D4DBB04F-23F6-440D-B9B8-708EF8744CC1}"/>
            </a:ext>
          </a:extLst>
        </xdr:cNvPr>
        <xdr:cNvSpPr txBox="1"/>
      </xdr:nvSpPr>
      <xdr:spPr>
        <a:xfrm>
          <a:off x="10992202" y="868680"/>
          <a:ext cx="206394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FB52F-0D9C-4AB4-8891-70576204203A}" type="TxLink">
            <a:rPr lang="en-US" sz="1800" b="0" i="0" u="none" strike="noStrike">
              <a:solidFill>
                <a:schemeClr val="tx2">
                  <a:lumMod val="10000"/>
                  <a:lumOff val="90000"/>
                </a:schemeClr>
              </a:solidFill>
              <a:latin typeface="Aptos Narrow"/>
              <a:ea typeface="+mn-ea"/>
              <a:cs typeface="+mn-cs"/>
            </a:rPr>
            <a:pPr marL="0" indent="0" algn="ctr"/>
            <a:t>Team Satisfaction Level</a:t>
          </a:fld>
          <a:endParaRPr lang="ru-RU" sz="1800" b="0" i="0" u="none" strike="noStrike">
            <a:solidFill>
              <a:schemeClr val="tx2">
                <a:lumMod val="10000"/>
                <a:lumOff val="90000"/>
              </a:schemeClr>
            </a:solidFill>
            <a:latin typeface="Aptos Narrow"/>
            <a:ea typeface="+mn-ea"/>
            <a:cs typeface="+mn-cs"/>
          </a:endParaRPr>
        </a:p>
      </xdr:txBody>
    </xdr:sp>
    <xdr:clientData/>
  </xdr:twoCellAnchor>
  <xdr:twoCellAnchor>
    <xdr:from>
      <xdr:col>18</xdr:col>
      <xdr:colOff>552509</xdr:colOff>
      <xdr:row>9</xdr:row>
      <xdr:rowOff>57984</xdr:rowOff>
    </xdr:from>
    <xdr:to>
      <xdr:col>20</xdr:col>
      <xdr:colOff>344001</xdr:colOff>
      <xdr:row>13</xdr:row>
      <xdr:rowOff>18217</xdr:rowOff>
    </xdr:to>
    <xdr:sp macro="" textlink="Processing!G5">
      <xdr:nvSpPr>
        <xdr:cNvPr id="26" name="TextBox 25">
          <a:extLst>
            <a:ext uri="{FF2B5EF4-FFF2-40B4-BE49-F238E27FC236}">
              <a16:creationId xmlns:a16="http://schemas.microsoft.com/office/drawing/2014/main" id="{98092F4E-8518-45D1-9308-F02CE43C14BD}"/>
            </a:ext>
          </a:extLst>
        </xdr:cNvPr>
        <xdr:cNvSpPr txBox="1"/>
      </xdr:nvSpPr>
      <xdr:spPr>
        <a:xfrm>
          <a:off x="11525309" y="1703904"/>
          <a:ext cx="1010692" cy="69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F4CB11-2AD8-4F87-B113-8988FBD0B801}" type="TxLink">
            <a:rPr lang="en-US" sz="2800" b="0" i="0" u="none" strike="noStrike">
              <a:solidFill>
                <a:srgbClr val="A0D8FC"/>
              </a:solidFill>
              <a:latin typeface="Aptos Narrow"/>
              <a:ea typeface="+mn-ea"/>
              <a:cs typeface="+mn-cs"/>
            </a:rPr>
            <a:pPr marL="0" indent="0" algn="ctr"/>
            <a:t>92%</a:t>
          </a:fld>
          <a:endParaRPr lang="ru-RU" sz="6000" b="0" i="0" u="none" strike="noStrike">
            <a:solidFill>
              <a:srgbClr val="A0D8FC"/>
            </a:solidFill>
            <a:latin typeface="Aptos Narrow"/>
            <a:ea typeface="+mn-ea"/>
            <a:cs typeface="+mn-cs"/>
          </a:endParaRPr>
        </a:p>
      </xdr:txBody>
    </xdr:sp>
    <xdr:clientData/>
  </xdr:twoCellAnchor>
  <xdr:twoCellAnchor>
    <xdr:from>
      <xdr:col>18</xdr:col>
      <xdr:colOff>385877</xdr:colOff>
      <xdr:row>19</xdr:row>
      <xdr:rowOff>85842</xdr:rowOff>
    </xdr:from>
    <xdr:to>
      <xdr:col>20</xdr:col>
      <xdr:colOff>538277</xdr:colOff>
      <xdr:row>26</xdr:row>
      <xdr:rowOff>177282</xdr:rowOff>
    </xdr:to>
    <xdr:graphicFrame macro="">
      <xdr:nvGraphicFramePr>
        <xdr:cNvPr id="27" name="Chart 26">
          <a:extLst>
            <a:ext uri="{FF2B5EF4-FFF2-40B4-BE49-F238E27FC236}">
              <a16:creationId xmlns:a16="http://schemas.microsoft.com/office/drawing/2014/main" id="{49AC304F-F61D-4CBE-9C53-A4F199B43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243687</xdr:colOff>
      <xdr:row>18</xdr:row>
      <xdr:rowOff>117348</xdr:rowOff>
    </xdr:from>
    <xdr:to>
      <xdr:col>22</xdr:col>
      <xdr:colOff>98907</xdr:colOff>
      <xdr:row>28</xdr:row>
      <xdr:rowOff>30480</xdr:rowOff>
    </xdr:to>
    <xdr:graphicFrame macro="">
      <xdr:nvGraphicFramePr>
        <xdr:cNvPr id="28" name="Chart 27">
          <a:extLst>
            <a:ext uri="{FF2B5EF4-FFF2-40B4-BE49-F238E27FC236}">
              <a16:creationId xmlns:a16="http://schemas.microsoft.com/office/drawing/2014/main" id="{0AE5877D-B6BA-47E3-9F5C-8222B075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18</xdr:row>
      <xdr:rowOff>53340</xdr:rowOff>
    </xdr:from>
    <xdr:to>
      <xdr:col>18</xdr:col>
      <xdr:colOff>480060</xdr:colOff>
      <xdr:row>19</xdr:row>
      <xdr:rowOff>137160</xdr:rowOff>
    </xdr:to>
    <xdr:sp macro="" textlink="Processing!M1">
      <xdr:nvSpPr>
        <xdr:cNvPr id="29" name="TextBox 28">
          <a:extLst>
            <a:ext uri="{FF2B5EF4-FFF2-40B4-BE49-F238E27FC236}">
              <a16:creationId xmlns:a16="http://schemas.microsoft.com/office/drawing/2014/main" id="{3AE56CAA-A24B-4915-B033-D50992483B27}"/>
            </a:ext>
          </a:extLst>
        </xdr:cNvPr>
        <xdr:cNvSpPr txBox="1"/>
      </xdr:nvSpPr>
      <xdr:spPr>
        <a:xfrm>
          <a:off x="10515600" y="3345180"/>
          <a:ext cx="9372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E125E04-4F88-4B48-AADD-B1CE82772CF2}" type="TxLink">
            <a:rPr lang="en-US" sz="1400" b="0" i="0" u="none" strike="noStrike">
              <a:solidFill>
                <a:schemeClr val="tx2">
                  <a:lumMod val="10000"/>
                  <a:lumOff val="90000"/>
                </a:schemeClr>
              </a:solidFill>
              <a:latin typeface="Aptos Narrow"/>
              <a:ea typeface="+mn-ea"/>
              <a:cs typeface="+mn-cs"/>
            </a:rPr>
            <a:pPr marL="0" indent="0"/>
            <a:t>Sources</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16</xdr:col>
      <xdr:colOff>342900</xdr:colOff>
      <xdr:row>28</xdr:row>
      <xdr:rowOff>158645</xdr:rowOff>
    </xdr:from>
    <xdr:to>
      <xdr:col>22</xdr:col>
      <xdr:colOff>342900</xdr:colOff>
      <xdr:row>38</xdr:row>
      <xdr:rowOff>155445</xdr:rowOff>
    </xdr:to>
    <xdr:graphicFrame macro="">
      <xdr:nvGraphicFramePr>
        <xdr:cNvPr id="30" name="Chart 29">
          <a:extLst>
            <a:ext uri="{FF2B5EF4-FFF2-40B4-BE49-F238E27FC236}">
              <a16:creationId xmlns:a16="http://schemas.microsoft.com/office/drawing/2014/main" id="{DC7B2525-4313-4E49-9CB0-0CF7229E3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304800</xdr:colOff>
      <xdr:row>29</xdr:row>
      <xdr:rowOff>76200</xdr:rowOff>
    </xdr:from>
    <xdr:to>
      <xdr:col>22</xdr:col>
      <xdr:colOff>182880</xdr:colOff>
      <xdr:row>30</xdr:row>
      <xdr:rowOff>160020</xdr:rowOff>
    </xdr:to>
    <xdr:sp macro="" textlink="Processing!L8">
      <xdr:nvSpPr>
        <xdr:cNvPr id="31" name="TextBox 30">
          <a:extLst>
            <a:ext uri="{FF2B5EF4-FFF2-40B4-BE49-F238E27FC236}">
              <a16:creationId xmlns:a16="http://schemas.microsoft.com/office/drawing/2014/main" id="{F079F1D5-1EE5-4152-A8C9-6B93A4CA7CFB}"/>
            </a:ext>
          </a:extLst>
        </xdr:cNvPr>
        <xdr:cNvSpPr txBox="1"/>
      </xdr:nvSpPr>
      <xdr:spPr>
        <a:xfrm>
          <a:off x="12496800" y="537972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5EFC44-6316-455D-A093-E0FE5BC3D368}" type="TxLink">
            <a:rPr lang="en-US" sz="1400" b="0" i="0" u="none" strike="noStrike">
              <a:solidFill>
                <a:schemeClr val="tx2">
                  <a:lumMod val="10000"/>
                  <a:lumOff val="90000"/>
                </a:schemeClr>
              </a:solidFill>
              <a:latin typeface="Aptos Narrow"/>
              <a:ea typeface="+mn-ea"/>
              <a:cs typeface="+mn-cs"/>
            </a:rPr>
            <a:pPr marL="0" indent="0"/>
            <a:t>Task Status</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140278</xdr:colOff>
      <xdr:row>19</xdr:row>
      <xdr:rowOff>123825</xdr:rowOff>
    </xdr:from>
    <xdr:to>
      <xdr:col>7</xdr:col>
      <xdr:colOff>202623</xdr:colOff>
      <xdr:row>21</xdr:row>
      <xdr:rowOff>51435</xdr:rowOff>
    </xdr:to>
    <xdr:sp macro="" textlink="Processing!J7">
      <xdr:nvSpPr>
        <xdr:cNvPr id="32" name="TextBox 31">
          <a:extLst>
            <a:ext uri="{FF2B5EF4-FFF2-40B4-BE49-F238E27FC236}">
              <a16:creationId xmlns:a16="http://schemas.microsoft.com/office/drawing/2014/main" id="{C94C3FBF-EF22-41F5-9107-3A13B53099FB}"/>
            </a:ext>
          </a:extLst>
        </xdr:cNvPr>
        <xdr:cNvSpPr txBox="1"/>
      </xdr:nvSpPr>
      <xdr:spPr>
        <a:xfrm>
          <a:off x="3188278" y="359854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C411B-C7EB-4A73-8525-27559A138AB9}" type="TxLink">
            <a:rPr lang="en-US" sz="1400" b="0" i="0" u="none" strike="noStrike">
              <a:solidFill>
                <a:schemeClr val="tx2">
                  <a:lumMod val="10000"/>
                  <a:lumOff val="90000"/>
                </a:schemeClr>
              </a:solidFill>
              <a:latin typeface="Aptos Narrow"/>
              <a:ea typeface="+mn-ea"/>
              <a:cs typeface="+mn-cs"/>
            </a:rPr>
            <a:pPr marL="0" indent="0" algn="ctr"/>
            <a:t>Plan</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383181</xdr:colOff>
      <xdr:row>20</xdr:row>
      <xdr:rowOff>110472</xdr:rowOff>
    </xdr:from>
    <xdr:to>
      <xdr:col>6</xdr:col>
      <xdr:colOff>569320</xdr:colOff>
      <xdr:row>23</xdr:row>
      <xdr:rowOff>34308</xdr:rowOff>
    </xdr:to>
    <xdr:sp macro="" textlink="Processing!J8">
      <xdr:nvSpPr>
        <xdr:cNvPr id="33" name="TextBox 32">
          <a:extLst>
            <a:ext uri="{FF2B5EF4-FFF2-40B4-BE49-F238E27FC236}">
              <a16:creationId xmlns:a16="http://schemas.microsoft.com/office/drawing/2014/main" id="{122AA44B-471A-4971-AC30-D727A4A87EAE}"/>
            </a:ext>
          </a:extLst>
        </xdr:cNvPr>
        <xdr:cNvSpPr txBox="1"/>
      </xdr:nvSpPr>
      <xdr:spPr>
        <a:xfrm>
          <a:off x="3431181" y="3768072"/>
          <a:ext cx="795739"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F6A7DD-C5CC-4A1C-9B05-8348013E19D2}" type="TxLink">
            <a:rPr lang="en-US" sz="2800" b="0" i="0" u="none" strike="noStrike">
              <a:solidFill>
                <a:srgbClr val="A0D8FC"/>
              </a:solidFill>
              <a:latin typeface="Aptos Narrow"/>
              <a:ea typeface="+mn-ea"/>
              <a:cs typeface="+mn-cs"/>
            </a:rPr>
            <a:pPr marL="0" indent="0" algn="ctr"/>
            <a:t>15</a:t>
          </a:fld>
          <a:endParaRPr lang="ru-RU" sz="2800" b="0" i="0" u="none" strike="noStrike">
            <a:solidFill>
              <a:srgbClr val="A0D8FC"/>
            </a:solidFill>
            <a:latin typeface="Aptos Narrow"/>
            <a:ea typeface="+mn-ea"/>
            <a:cs typeface="+mn-cs"/>
          </a:endParaRPr>
        </a:p>
      </xdr:txBody>
    </xdr:sp>
    <xdr:clientData/>
  </xdr:twoCellAnchor>
  <xdr:twoCellAnchor>
    <xdr:from>
      <xdr:col>8</xdr:col>
      <xdr:colOff>129453</xdr:colOff>
      <xdr:row>21</xdr:row>
      <xdr:rowOff>22860</xdr:rowOff>
    </xdr:from>
    <xdr:to>
      <xdr:col>16</xdr:col>
      <xdr:colOff>98973</xdr:colOff>
      <xdr:row>36</xdr:row>
      <xdr:rowOff>114300</xdr:rowOff>
    </xdr:to>
    <xdr:graphicFrame macro="">
      <xdr:nvGraphicFramePr>
        <xdr:cNvPr id="34" name="Chart 33">
          <a:extLst>
            <a:ext uri="{FF2B5EF4-FFF2-40B4-BE49-F238E27FC236}">
              <a16:creationId xmlns:a16="http://schemas.microsoft.com/office/drawing/2014/main" id="{2178EEED-018B-49F4-8E9E-0C289B6E1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251460</xdr:colOff>
      <xdr:row>21</xdr:row>
      <xdr:rowOff>53340</xdr:rowOff>
    </xdr:from>
    <xdr:to>
      <xdr:col>11</xdr:col>
      <xdr:colOff>449580</xdr:colOff>
      <xdr:row>22</xdr:row>
      <xdr:rowOff>137160</xdr:rowOff>
    </xdr:to>
    <xdr:sp macro="" textlink="Processing!A16">
      <xdr:nvSpPr>
        <xdr:cNvPr id="35" name="TextBox 34">
          <a:extLst>
            <a:ext uri="{FF2B5EF4-FFF2-40B4-BE49-F238E27FC236}">
              <a16:creationId xmlns:a16="http://schemas.microsoft.com/office/drawing/2014/main" id="{9058FE9E-60C7-48E5-A42F-E2F57B26A6FD}"/>
            </a:ext>
          </a:extLst>
        </xdr:cNvPr>
        <xdr:cNvSpPr txBox="1"/>
      </xdr:nvSpPr>
      <xdr:spPr>
        <a:xfrm>
          <a:off x="5128260" y="3893820"/>
          <a:ext cx="2026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F32E873-3ADB-4C8A-9118-F04ACFD88E77}" type="TxLink">
            <a:rPr lang="en-US" sz="1400" b="0" i="0" u="none" strike="noStrike">
              <a:solidFill>
                <a:schemeClr val="tx2">
                  <a:lumMod val="10000"/>
                  <a:lumOff val="90000"/>
                </a:schemeClr>
              </a:solidFill>
              <a:latin typeface="Aptos Narrow"/>
              <a:ea typeface="+mn-ea"/>
              <a:cs typeface="+mn-cs"/>
            </a:rPr>
            <a:pPr marL="0" indent="0"/>
            <a:t>Epic Burndown Chart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15</xdr:col>
      <xdr:colOff>160020</xdr:colOff>
      <xdr:row>21</xdr:row>
      <xdr:rowOff>38100</xdr:rowOff>
    </xdr:from>
    <xdr:to>
      <xdr:col>16</xdr:col>
      <xdr:colOff>91440</xdr:colOff>
      <xdr:row>22</xdr:row>
      <xdr:rowOff>121920</xdr:rowOff>
    </xdr:to>
    <xdr:sp macro="" textlink="Processing!E15">
      <xdr:nvSpPr>
        <xdr:cNvPr id="36" name="TextBox 35">
          <a:extLst>
            <a:ext uri="{FF2B5EF4-FFF2-40B4-BE49-F238E27FC236}">
              <a16:creationId xmlns:a16="http://schemas.microsoft.com/office/drawing/2014/main" id="{C4FC76C8-07DC-4F5C-A76E-2A933FC26020}"/>
            </a:ext>
          </a:extLst>
        </xdr:cNvPr>
        <xdr:cNvSpPr txBox="1"/>
      </xdr:nvSpPr>
      <xdr:spPr>
        <a:xfrm>
          <a:off x="9304020" y="3878580"/>
          <a:ext cx="541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B1770A8-069D-4659-9A65-E76906993056}" type="TxLink">
            <a:rPr lang="en-US" sz="1600" b="0" i="0" u="none" strike="noStrike">
              <a:solidFill>
                <a:srgbClr val="A0D8FC"/>
              </a:solidFill>
              <a:latin typeface="Aptos Narrow"/>
              <a:ea typeface="+mn-ea"/>
              <a:cs typeface="+mn-cs"/>
            </a:rPr>
            <a:pPr marL="0" indent="0" algn="r"/>
            <a:t>10</a:t>
          </a:fld>
          <a:endParaRPr lang="ru-RU" sz="2000" b="0" i="0" u="none" strike="noStrike">
            <a:solidFill>
              <a:srgbClr val="A0D8FC"/>
            </a:solidFill>
            <a:latin typeface="Aptos Narrow"/>
            <a:ea typeface="+mn-ea"/>
            <a:cs typeface="+mn-cs"/>
          </a:endParaRPr>
        </a:p>
      </xdr:txBody>
    </xdr:sp>
    <xdr:clientData/>
  </xdr:twoCellAnchor>
  <xdr:twoCellAnchor>
    <xdr:from>
      <xdr:col>15</xdr:col>
      <xdr:colOff>167640</xdr:colOff>
      <xdr:row>23</xdr:row>
      <xdr:rowOff>7620</xdr:rowOff>
    </xdr:from>
    <xdr:to>
      <xdr:col>16</xdr:col>
      <xdr:colOff>83820</xdr:colOff>
      <xdr:row>24</xdr:row>
      <xdr:rowOff>91440</xdr:rowOff>
    </xdr:to>
    <xdr:sp macro="" textlink="Processing!D15">
      <xdr:nvSpPr>
        <xdr:cNvPr id="37" name="TextBox 36">
          <a:extLst>
            <a:ext uri="{FF2B5EF4-FFF2-40B4-BE49-F238E27FC236}">
              <a16:creationId xmlns:a16="http://schemas.microsoft.com/office/drawing/2014/main" id="{1F271D7F-A9B3-4DED-801E-8709C2BF3AEF}"/>
            </a:ext>
          </a:extLst>
        </xdr:cNvPr>
        <xdr:cNvSpPr txBox="1"/>
      </xdr:nvSpPr>
      <xdr:spPr>
        <a:xfrm>
          <a:off x="9311640" y="4213860"/>
          <a:ext cx="5257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9D9609-5543-4661-AF64-0F06822367A2}" type="TxLink">
            <a:rPr lang="en-US" sz="1600" b="0" i="0" u="none" strike="noStrike">
              <a:solidFill>
                <a:srgbClr val="A0D8FC"/>
              </a:solidFill>
              <a:latin typeface="Aptos Narrow"/>
              <a:ea typeface="+mn-ea"/>
              <a:cs typeface="+mn-cs"/>
            </a:rPr>
            <a:pPr marL="0" indent="0" algn="r"/>
            <a:t>29</a:t>
          </a:fld>
          <a:endParaRPr lang="ru-RU" sz="1600" b="0" i="0" u="none" strike="noStrike">
            <a:solidFill>
              <a:srgbClr val="A0D8FC"/>
            </a:solidFill>
            <a:latin typeface="Aptos Narrow"/>
            <a:ea typeface="+mn-ea"/>
            <a:cs typeface="+mn-cs"/>
          </a:endParaRPr>
        </a:p>
      </xdr:txBody>
    </xdr:sp>
    <xdr:clientData/>
  </xdr:twoCellAnchor>
  <xdr:twoCellAnchor>
    <xdr:from>
      <xdr:col>15</xdr:col>
      <xdr:colOff>53340</xdr:colOff>
      <xdr:row>24</xdr:row>
      <xdr:rowOff>152400</xdr:rowOff>
    </xdr:from>
    <xdr:to>
      <xdr:col>16</xdr:col>
      <xdr:colOff>83820</xdr:colOff>
      <xdr:row>26</xdr:row>
      <xdr:rowOff>53340</xdr:rowOff>
    </xdr:to>
    <xdr:sp macro="" textlink="Processing!C15">
      <xdr:nvSpPr>
        <xdr:cNvPr id="38" name="TextBox 37">
          <a:extLst>
            <a:ext uri="{FF2B5EF4-FFF2-40B4-BE49-F238E27FC236}">
              <a16:creationId xmlns:a16="http://schemas.microsoft.com/office/drawing/2014/main" id="{76817E1C-02AE-4DCC-A82D-BB36CDAD08A6}"/>
            </a:ext>
          </a:extLst>
        </xdr:cNvPr>
        <xdr:cNvSpPr txBox="1"/>
      </xdr:nvSpPr>
      <xdr:spPr>
        <a:xfrm>
          <a:off x="9197340" y="4541520"/>
          <a:ext cx="6400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033EE58-0A3F-4CF6-B901-59FDEEA2D4F5}" type="TxLink">
            <a:rPr lang="en-US" sz="1600" b="0" i="0" u="none" strike="noStrike">
              <a:solidFill>
                <a:srgbClr val="A0D8FC"/>
              </a:solidFill>
              <a:latin typeface="Aptos Narrow"/>
              <a:ea typeface="+mn-ea"/>
              <a:cs typeface="+mn-cs"/>
            </a:rPr>
            <a:pPr marL="0" indent="0" algn="r"/>
            <a:t>8</a:t>
          </a:fld>
          <a:endParaRPr lang="ru-RU" sz="1600" b="0" i="0" u="none" strike="noStrike">
            <a:solidFill>
              <a:srgbClr val="A0D8FC"/>
            </a:solidFill>
            <a:latin typeface="Aptos Narrow"/>
            <a:ea typeface="+mn-ea"/>
            <a:cs typeface="+mn-cs"/>
          </a:endParaRPr>
        </a:p>
      </xdr:txBody>
    </xdr:sp>
    <xdr:clientData/>
  </xdr:twoCellAnchor>
  <xdr:twoCellAnchor editAs="oneCell">
    <xdr:from>
      <xdr:col>2</xdr:col>
      <xdr:colOff>7620</xdr:colOff>
      <xdr:row>10</xdr:row>
      <xdr:rowOff>68581</xdr:rowOff>
    </xdr:from>
    <xdr:to>
      <xdr:col>5</xdr:col>
      <xdr:colOff>7620</xdr:colOff>
      <xdr:row>12</xdr:row>
      <xdr:rowOff>132589</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0C665A88-166B-444A-AC05-0EB8EE92731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6820" y="1897381"/>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17</xdr:row>
      <xdr:rowOff>1</xdr:rowOff>
    </xdr:from>
    <xdr:to>
      <xdr:col>16</xdr:col>
      <xdr:colOff>213360</xdr:colOff>
      <xdr:row>19</xdr:row>
      <xdr:rowOff>1</xdr:rowOff>
    </xdr:to>
    <mc:AlternateContent xmlns:mc="http://schemas.openxmlformats.org/markup-compatibility/2006" xmlns:a14="http://schemas.microsoft.com/office/drawing/2010/main">
      <mc:Choice Requires="a14">
        <xdr:graphicFrame macro="">
          <xdr:nvGraphicFramePr>
            <xdr:cNvPr id="40" name="Month 2">
              <a:extLst>
                <a:ext uri="{FF2B5EF4-FFF2-40B4-BE49-F238E27FC236}">
                  <a16:creationId xmlns:a16="http://schemas.microsoft.com/office/drawing/2014/main" id="{57AF0E62-F226-4DDE-9122-043B80480BF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5303520" y="3108961"/>
              <a:ext cx="4663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350520</xdr:colOff>
      <xdr:row>21</xdr:row>
      <xdr:rowOff>152400</xdr:rowOff>
    </xdr:from>
    <xdr:to>
      <xdr:col>5</xdr:col>
      <xdr:colOff>198120</xdr:colOff>
      <xdr:row>23</xdr:row>
      <xdr:rowOff>152400</xdr:rowOff>
    </xdr:to>
    <mc:AlternateContent xmlns:mc="http://schemas.openxmlformats.org/markup-compatibility/2006" xmlns:a14="http://schemas.microsoft.com/office/drawing/2010/main">
      <mc:Choice Requires="a14">
        <xdr:graphicFrame macro="">
          <xdr:nvGraphicFramePr>
            <xdr:cNvPr id="41" name="Managers 1">
              <a:extLst>
                <a:ext uri="{FF2B5EF4-FFF2-40B4-BE49-F238E27FC236}">
                  <a16:creationId xmlns:a16="http://schemas.microsoft.com/office/drawing/2014/main" id="{6FBED707-88C0-4C95-B80E-29109DD6D1DA}"/>
                </a:ext>
              </a:extLst>
            </xdr:cNvPr>
            <xdr:cNvGraphicFramePr/>
          </xdr:nvGraphicFramePr>
          <xdr:xfrm>
            <a:off x="0" y="0"/>
            <a:ext cx="0" cy="0"/>
          </xdr:xfrm>
          <a:graphic>
            <a:graphicData uri="http://schemas.microsoft.com/office/drawing/2010/slicer">
              <sle:slicer xmlns:sle="http://schemas.microsoft.com/office/drawing/2010/slicer" name="Managers 1"/>
            </a:graphicData>
          </a:graphic>
        </xdr:graphicFrame>
      </mc:Choice>
      <mc:Fallback xmlns="">
        <xdr:sp macro="" textlink="">
          <xdr:nvSpPr>
            <xdr:cNvPr id="0" name=""/>
            <xdr:cNvSpPr>
              <a:spLocks noTextEdit="1"/>
            </xdr:cNvSpPr>
          </xdr:nvSpPr>
          <xdr:spPr>
            <a:xfrm>
              <a:off x="960120" y="3992880"/>
              <a:ext cx="228600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213273</xdr:colOff>
      <xdr:row>36</xdr:row>
      <xdr:rowOff>22861</xdr:rowOff>
    </xdr:from>
    <xdr:to>
      <xdr:col>16</xdr:col>
      <xdr:colOff>91353</xdr:colOff>
      <xdr:row>38</xdr:row>
      <xdr:rowOff>22861</xdr:rowOff>
    </xdr:to>
    <mc:AlternateContent xmlns:mc="http://schemas.openxmlformats.org/markup-compatibility/2006" xmlns:a14="http://schemas.microsoft.com/office/drawing/2010/main">
      <mc:Choice Requires="a14">
        <xdr:graphicFrame macro="">
          <xdr:nvGraphicFramePr>
            <xdr:cNvPr id="42" name="Month 3">
              <a:extLst>
                <a:ext uri="{FF2B5EF4-FFF2-40B4-BE49-F238E27FC236}">
                  <a16:creationId xmlns:a16="http://schemas.microsoft.com/office/drawing/2014/main" id="{3EE68BFC-EEF6-4BB5-BE44-BFB3EE04712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5090073" y="6606541"/>
              <a:ext cx="47548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556260</xdr:colOff>
      <xdr:row>4</xdr:row>
      <xdr:rowOff>118110</xdr:rowOff>
    </xdr:from>
    <xdr:to>
      <xdr:col>15</xdr:col>
      <xdr:colOff>30480</xdr:colOff>
      <xdr:row>6</xdr:row>
      <xdr:rowOff>19050</xdr:rowOff>
    </xdr:to>
    <xdr:sp macro="" textlink="Processing!D14">
      <xdr:nvSpPr>
        <xdr:cNvPr id="43" name="TextBox 42">
          <a:extLst>
            <a:ext uri="{FF2B5EF4-FFF2-40B4-BE49-F238E27FC236}">
              <a16:creationId xmlns:a16="http://schemas.microsoft.com/office/drawing/2014/main" id="{50883E87-FED9-414C-A314-150923A0F7F7}"/>
            </a:ext>
          </a:extLst>
        </xdr:cNvPr>
        <xdr:cNvSpPr txBox="1"/>
      </xdr:nvSpPr>
      <xdr:spPr>
        <a:xfrm>
          <a:off x="84810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C28010B-5445-4E21-AC5E-9B7AAFE565CD}" type="TxLink">
            <a:rPr lang="en-US" sz="1600" b="0" i="0" u="none" strike="noStrike">
              <a:solidFill>
                <a:schemeClr val="tx2">
                  <a:lumMod val="10000"/>
                  <a:lumOff val="90000"/>
                </a:schemeClr>
              </a:solidFill>
              <a:latin typeface="Aptos Narrow"/>
              <a:ea typeface="+mn-ea"/>
              <a:cs typeface="+mn-cs"/>
            </a:rPr>
            <a:pPr marL="0" indent="0" algn="r"/>
            <a:t>-100</a:t>
          </a:fld>
          <a:endParaRPr lang="ru-RU" sz="2000" b="0" i="0" u="none" strike="noStrike">
            <a:solidFill>
              <a:schemeClr val="tx2">
                <a:lumMod val="10000"/>
                <a:lumOff val="90000"/>
              </a:schemeClr>
            </a:solidFill>
            <a:latin typeface="Aptos Narrow"/>
            <a:ea typeface="+mn-ea"/>
            <a:cs typeface="+mn-cs"/>
          </a:endParaRPr>
        </a:p>
      </xdr:txBody>
    </xdr:sp>
    <xdr:clientData/>
  </xdr:twoCellAnchor>
  <xdr:twoCellAnchor>
    <xdr:from>
      <xdr:col>8</xdr:col>
      <xdr:colOff>365760</xdr:colOff>
      <xdr:row>4</xdr:row>
      <xdr:rowOff>118110</xdr:rowOff>
    </xdr:from>
    <xdr:to>
      <xdr:col>9</xdr:col>
      <xdr:colOff>449580</xdr:colOff>
      <xdr:row>6</xdr:row>
      <xdr:rowOff>19050</xdr:rowOff>
    </xdr:to>
    <xdr:sp macro="" textlink="Processing!B14">
      <xdr:nvSpPr>
        <xdr:cNvPr id="44" name="TextBox 43">
          <a:extLst>
            <a:ext uri="{FF2B5EF4-FFF2-40B4-BE49-F238E27FC236}">
              <a16:creationId xmlns:a16="http://schemas.microsoft.com/office/drawing/2014/main" id="{0D1CA31C-B81E-4763-AE1C-95C20D6F0724}"/>
            </a:ext>
          </a:extLst>
        </xdr:cNvPr>
        <xdr:cNvSpPr txBox="1"/>
      </xdr:nvSpPr>
      <xdr:spPr>
        <a:xfrm>
          <a:off x="52425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40DBD6C-EACD-4C49-8C71-3ED44FF9CA04}" type="TxLink">
            <a:rPr lang="en-US" sz="1600" b="0" i="0" u="none" strike="noStrike">
              <a:solidFill>
                <a:srgbClr val="207BDE"/>
              </a:solidFill>
              <a:latin typeface="Aptos Narrow"/>
              <a:ea typeface="+mn-ea"/>
              <a:cs typeface="+mn-cs"/>
            </a:rPr>
            <a:pPr marL="0" indent="0" algn="r"/>
            <a:t>450</a:t>
          </a:fld>
          <a:endParaRPr lang="ru-RU" sz="1600" b="0" i="0" u="none" strike="noStrike">
            <a:solidFill>
              <a:srgbClr val="207BDE"/>
            </a:solidFill>
            <a:latin typeface="Aptos Narrow"/>
            <a:ea typeface="+mn-ea"/>
            <a:cs typeface="+mn-cs"/>
          </a:endParaRPr>
        </a:p>
      </xdr:txBody>
    </xdr:sp>
    <xdr:clientData/>
  </xdr:twoCellAnchor>
  <xdr:twoCellAnchor>
    <xdr:from>
      <xdr:col>11</xdr:col>
      <xdr:colOff>472440</xdr:colOff>
      <xdr:row>4</xdr:row>
      <xdr:rowOff>118110</xdr:rowOff>
    </xdr:from>
    <xdr:to>
      <xdr:col>12</xdr:col>
      <xdr:colOff>556260</xdr:colOff>
      <xdr:row>6</xdr:row>
      <xdr:rowOff>19050</xdr:rowOff>
    </xdr:to>
    <xdr:sp macro="" textlink="Processing!C14">
      <xdr:nvSpPr>
        <xdr:cNvPr id="45" name="TextBox 44">
          <a:extLst>
            <a:ext uri="{FF2B5EF4-FFF2-40B4-BE49-F238E27FC236}">
              <a16:creationId xmlns:a16="http://schemas.microsoft.com/office/drawing/2014/main" id="{C05ABF98-5C53-4BFB-8B4A-B78637877B22}"/>
            </a:ext>
          </a:extLst>
        </xdr:cNvPr>
        <xdr:cNvSpPr txBox="1"/>
      </xdr:nvSpPr>
      <xdr:spPr>
        <a:xfrm>
          <a:off x="717804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B0E3DF-E104-47BA-B2FF-6F97CC52C784}" type="TxLink">
            <a:rPr lang="en-US" sz="1600" b="0" i="0" u="none" strike="noStrike">
              <a:solidFill>
                <a:srgbClr val="B171F9"/>
              </a:solidFill>
              <a:latin typeface="Aptos Narrow"/>
              <a:ea typeface="+mn-ea"/>
              <a:cs typeface="+mn-cs"/>
            </a:rPr>
            <a:pPr marL="0" indent="0" algn="l"/>
            <a:t>550</a:t>
          </a:fld>
          <a:endParaRPr lang="ru-RU" sz="1600" b="0" i="0" u="none" strike="noStrike">
            <a:solidFill>
              <a:srgbClr val="B171F9"/>
            </a:solidFill>
            <a:latin typeface="Aptos Narrow"/>
            <a:ea typeface="+mn-ea"/>
            <a:cs typeface="+mn-cs"/>
          </a:endParaRPr>
        </a:p>
      </xdr:txBody>
    </xdr:sp>
    <xdr:clientData/>
  </xdr:twoCellAnchor>
  <xdr:twoCellAnchor editAs="oneCell">
    <xdr:from>
      <xdr:col>23</xdr:col>
      <xdr:colOff>76200</xdr:colOff>
      <xdr:row>0</xdr:row>
      <xdr:rowOff>68580</xdr:rowOff>
    </xdr:from>
    <xdr:to>
      <xdr:col>23</xdr:col>
      <xdr:colOff>350520</xdr:colOff>
      <xdr:row>1</xdr:row>
      <xdr:rowOff>160020</xdr:rowOff>
    </xdr:to>
    <xdr:pic>
      <xdr:nvPicPr>
        <xdr:cNvPr id="46" name="Graphic 45" descr="Sun with solid fill">
          <a:hlinkClick xmlns:r="http://schemas.openxmlformats.org/officeDocument/2006/relationships" r:id="rId10"/>
          <a:extLst>
            <a:ext uri="{FF2B5EF4-FFF2-40B4-BE49-F238E27FC236}">
              <a16:creationId xmlns:a16="http://schemas.microsoft.com/office/drawing/2014/main" id="{6694EB35-580E-4591-AAA6-A3C87287243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097000" y="6858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121920</xdr:colOff>
      <xdr:row>6</xdr:row>
      <xdr:rowOff>114300</xdr:rowOff>
    </xdr:from>
    <xdr:to>
      <xdr:col>13</xdr:col>
      <xdr:colOff>182880</xdr:colOff>
      <xdr:row>12</xdr:row>
      <xdr:rowOff>175260</xdr:rowOff>
    </xdr:to>
    <xdr:sp macro="" textlink="">
      <xdr:nvSpPr>
        <xdr:cNvPr id="2" name="Rectangle 1">
          <a:extLst>
            <a:ext uri="{FF2B5EF4-FFF2-40B4-BE49-F238E27FC236}">
              <a16:creationId xmlns:a16="http://schemas.microsoft.com/office/drawing/2014/main" id="{72ED4048-69FD-4CC2-8EC1-30DAB82CBF4D}"/>
            </a:ext>
          </a:extLst>
        </xdr:cNvPr>
        <xdr:cNvSpPr/>
      </xdr:nvSpPr>
      <xdr:spPr>
        <a:xfrm>
          <a:off x="6827520" y="1211580"/>
          <a:ext cx="1280160" cy="1158240"/>
        </a:xfrm>
        <a:prstGeom prst="rect">
          <a:avLst/>
        </a:prstGeom>
        <a:gradFill>
          <a:gsLst>
            <a:gs pos="70656">
              <a:srgbClr val="FF00FF">
                <a:alpha val="30000"/>
              </a:srgbClr>
            </a:gs>
            <a:gs pos="44000">
              <a:srgbClr val="0D95FF">
                <a:alpha val="30000"/>
              </a:srgbClr>
            </a:gs>
            <a:gs pos="3000">
              <a:srgbClr val="0D95FF">
                <a:alpha val="60000"/>
              </a:srgbClr>
            </a:gs>
            <a:gs pos="100000">
              <a:srgbClr val="FF00FF">
                <a:alpha val="60000"/>
              </a:srgbClr>
            </a:gs>
          </a:gsLst>
          <a:path path="circle">
            <a:fillToRect l="100000" b="100000"/>
          </a:path>
        </a:gradFill>
        <a:ln w="9525">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981384722225" createdVersion="8" refreshedVersion="8" minRefreshableVersion="3" recordCount="144" xr:uid="{2C529F71-5A23-4007-A5DC-8B817E1FEFD1}">
  <cacheSource type="worksheet">
    <worksheetSource name="mydata"/>
  </cacheSource>
  <cacheFields count="18">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Number" numFmtId="0">
      <sharedItems containsSemiMixedTypes="0" containsString="0" containsNumber="1" containsInteger="1" minValue="1" maxValue="12"/>
    </cacheField>
    <cacheField name="Managers" numFmtId="0">
      <sharedItems count="4">
        <s v="Manag1"/>
        <s v="Manag2"/>
        <s v="Manag3"/>
        <s v="Manag4"/>
      </sharedItems>
    </cacheField>
    <cacheField name="Budget" numFmtId="0">
      <sharedItems containsSemiMixedTypes="0" containsString="0" containsNumber="1" containsInteger="1" minValue="400" maxValue="1450"/>
    </cacheField>
    <cacheField name="Expenses" numFmtId="0">
      <sharedItems containsSemiMixedTypes="0" containsString="0" containsNumber="1" containsInteger="1" minValue="350" maxValue="1300"/>
    </cacheField>
    <cacheField name="Added" numFmtId="0">
      <sharedItems containsSemiMixedTypes="0" containsString="0" containsNumber="1" containsInteger="1" minValue="0" maxValue="78"/>
    </cacheField>
    <cacheField name="Completed" numFmtId="0">
      <sharedItems containsSemiMixedTypes="0" containsString="0" containsNumber="1" containsInteger="1" minValue="0" maxValue="100"/>
    </cacheField>
    <cacheField name="Commitment Reliability" numFmtId="9">
      <sharedItems containsSemiMixedTypes="0" containsString="0" containsNumber="1" minValue="0.4" maxValue="1"/>
    </cacheField>
    <cacheField name="Defect-Free Delivery Rate" numFmtId="9">
      <sharedItems containsSemiMixedTypes="0" containsString="0" containsNumber="1" minValue="0.4" maxValue="1"/>
    </cacheField>
    <cacheField name="On-Time Delivery Rate" numFmtId="9">
      <sharedItems containsSemiMixedTypes="0" containsString="0" containsNumber="1" minValue="0.4" maxValue="1"/>
    </cacheField>
    <cacheField name="Flow Efficiency" numFmtId="9">
      <sharedItems containsSemiMixedTypes="0" containsString="0" containsNumber="1" minValue="0.4" maxValue="1"/>
    </cacheField>
    <cacheField name="Engagement" numFmtId="0">
      <sharedItems containsSemiMixedTypes="0" containsString="0" containsNumber="1" containsInteger="1" minValue="5" maxValue="10"/>
    </cacheField>
    <cacheField name="Workload" numFmtId="0">
      <sharedItems containsSemiMixedTypes="0" containsString="0" containsNumber="1" containsInteger="1" minValue="5" maxValue="10"/>
    </cacheField>
    <cacheField name="Autonomy" numFmtId="0">
      <sharedItems containsSemiMixedTypes="0" containsString="0" containsNumber="1" containsInteger="1" minValue="5" maxValue="10"/>
    </cacheField>
    <cacheField name="Collaboration" numFmtId="0">
      <sharedItems containsSemiMixedTypes="0" containsString="0" containsNumber="1" containsInteger="1" minValue="5" maxValue="10"/>
    </cacheField>
    <cacheField name="Flow State" numFmtId="0">
      <sharedItems containsSemiMixedTypes="0" containsString="0" containsNumber="1" containsInteger="1" minValue="5" maxValue="10"/>
    </cacheField>
    <cacheField name="Plan" numFmtId="0">
      <sharedItems containsSemiMixedTypes="0" containsString="0" containsNumber="1" containsInteger="1" minValue="15" maxValue="55"/>
    </cacheField>
  </cacheFields>
  <extLst>
    <ext xmlns:x14="http://schemas.microsoft.com/office/spreadsheetml/2009/9/main" uri="{725AE2AE-9491-48be-B2B4-4EB974FC3084}">
      <x14:pivotCacheDefinition pivotCacheId="969757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n v="1"/>
    <x v="0"/>
    <n v="500"/>
    <n v="400"/>
    <n v="39"/>
    <n v="0"/>
    <n v="0.94"/>
    <n v="0.8"/>
    <n v="0.65"/>
    <n v="0.43"/>
    <n v="7"/>
    <n v="9"/>
    <n v="7"/>
    <n v="8"/>
    <n v="8"/>
    <n v="15"/>
  </r>
  <r>
    <x v="0"/>
    <x v="1"/>
    <n v="2"/>
    <x v="0"/>
    <n v="400"/>
    <n v="500"/>
    <n v="6"/>
    <n v="7"/>
    <n v="0.73"/>
    <n v="0.7"/>
    <n v="0.77"/>
    <n v="0.82"/>
    <n v="10"/>
    <n v="8"/>
    <n v="10"/>
    <n v="8"/>
    <n v="10"/>
    <n v="15"/>
  </r>
  <r>
    <x v="0"/>
    <x v="2"/>
    <n v="3"/>
    <x v="0"/>
    <n v="500"/>
    <n v="350"/>
    <n v="6"/>
    <n v="5"/>
    <n v="0.44"/>
    <n v="0.44"/>
    <n v="0.52"/>
    <n v="0.64"/>
    <n v="6"/>
    <n v="7"/>
    <n v="8"/>
    <n v="9"/>
    <n v="8"/>
    <n v="15"/>
  </r>
  <r>
    <x v="0"/>
    <x v="3"/>
    <n v="4"/>
    <x v="0"/>
    <n v="450"/>
    <n v="550"/>
    <n v="8"/>
    <n v="10"/>
    <n v="0.97"/>
    <n v="0.65"/>
    <n v="0.69"/>
    <n v="0.99"/>
    <n v="7"/>
    <n v="9"/>
    <n v="10"/>
    <n v="10"/>
    <n v="10"/>
    <n v="15"/>
  </r>
  <r>
    <x v="0"/>
    <x v="4"/>
    <n v="5"/>
    <x v="0"/>
    <n v="700"/>
    <n v="600"/>
    <n v="12"/>
    <n v="21"/>
    <n v="0.48"/>
    <n v="0.66"/>
    <n v="0.48"/>
    <n v="0.85"/>
    <n v="9"/>
    <n v="5"/>
    <n v="8"/>
    <n v="10"/>
    <n v="8"/>
    <n v="15"/>
  </r>
  <r>
    <x v="0"/>
    <x v="5"/>
    <n v="6"/>
    <x v="0"/>
    <n v="600"/>
    <n v="800"/>
    <n v="9"/>
    <n v="17"/>
    <n v="0.56000000000000005"/>
    <n v="0.42"/>
    <n v="0.91"/>
    <n v="0.95"/>
    <n v="10"/>
    <n v="6"/>
    <n v="8"/>
    <n v="9"/>
    <n v="8"/>
    <n v="15"/>
  </r>
  <r>
    <x v="0"/>
    <x v="6"/>
    <n v="7"/>
    <x v="0"/>
    <n v="800"/>
    <n v="950"/>
    <n v="8"/>
    <n v="15"/>
    <n v="0.55000000000000004"/>
    <n v="0.56000000000000005"/>
    <n v="0.56000000000000005"/>
    <n v="0.92"/>
    <n v="7"/>
    <n v="10"/>
    <n v="5"/>
    <n v="6"/>
    <n v="5"/>
    <n v="15"/>
  </r>
  <r>
    <x v="0"/>
    <x v="7"/>
    <n v="8"/>
    <x v="0"/>
    <n v="700"/>
    <n v="900"/>
    <n v="7"/>
    <n v="10"/>
    <n v="0.99"/>
    <n v="0.73"/>
    <n v="0.48"/>
    <n v="0.89"/>
    <n v="10"/>
    <n v="9"/>
    <n v="6"/>
    <n v="10"/>
    <n v="6"/>
    <n v="15"/>
  </r>
  <r>
    <x v="0"/>
    <x v="8"/>
    <n v="9"/>
    <x v="0"/>
    <n v="800"/>
    <n v="700"/>
    <n v="2"/>
    <n v="5"/>
    <n v="0.64"/>
    <n v="0.96"/>
    <n v="0.98"/>
    <n v="0.87"/>
    <n v="6"/>
    <n v="9"/>
    <n v="8"/>
    <n v="10"/>
    <n v="6"/>
    <n v="15"/>
  </r>
  <r>
    <x v="0"/>
    <x v="9"/>
    <n v="10"/>
    <x v="0"/>
    <n v="1000"/>
    <n v="800"/>
    <n v="1"/>
    <n v="4"/>
    <n v="1"/>
    <n v="0.84"/>
    <n v="0.78"/>
    <n v="0.88"/>
    <n v="7"/>
    <n v="7"/>
    <n v="6"/>
    <n v="7"/>
    <n v="5"/>
    <n v="15"/>
  </r>
  <r>
    <x v="0"/>
    <x v="10"/>
    <n v="11"/>
    <x v="0"/>
    <n v="950"/>
    <n v="600"/>
    <n v="0"/>
    <n v="3"/>
    <n v="0.74"/>
    <n v="0.52"/>
    <n v="0.47"/>
    <n v="0.94"/>
    <n v="5"/>
    <n v="10"/>
    <n v="7"/>
    <n v="9"/>
    <n v="9"/>
    <n v="15"/>
  </r>
  <r>
    <x v="0"/>
    <x v="11"/>
    <n v="12"/>
    <x v="0"/>
    <n v="800"/>
    <n v="500"/>
    <n v="0"/>
    <n v="1"/>
    <n v="0.71"/>
    <n v="0.79"/>
    <n v="0.94"/>
    <n v="0.51"/>
    <n v="8"/>
    <n v="9"/>
    <n v="10"/>
    <n v="5"/>
    <n v="5"/>
    <n v="15"/>
  </r>
  <r>
    <x v="1"/>
    <x v="0"/>
    <n v="1"/>
    <x v="0"/>
    <n v="620"/>
    <n v="950"/>
    <n v="70"/>
    <n v="1"/>
    <n v="0.79"/>
    <n v="0.45"/>
    <n v="0.52"/>
    <n v="0.52"/>
    <n v="8"/>
    <n v="5"/>
    <n v="6"/>
    <n v="8"/>
    <n v="10"/>
    <n v="30"/>
  </r>
  <r>
    <x v="1"/>
    <x v="1"/>
    <n v="2"/>
    <x v="0"/>
    <n v="750"/>
    <n v="800"/>
    <n v="35"/>
    <n v="14"/>
    <n v="0.51"/>
    <n v="0.95"/>
    <n v="0.8"/>
    <n v="0.62"/>
    <n v="8"/>
    <n v="9"/>
    <n v="7"/>
    <n v="5"/>
    <n v="9"/>
    <n v="30"/>
  </r>
  <r>
    <x v="1"/>
    <x v="2"/>
    <n v="3"/>
    <x v="0"/>
    <n v="880"/>
    <n v="700"/>
    <n v="32"/>
    <n v="40"/>
    <n v="0.43"/>
    <n v="0.68"/>
    <n v="0.82"/>
    <n v="0.65"/>
    <n v="8"/>
    <n v="9"/>
    <n v="9"/>
    <n v="6"/>
    <n v="10"/>
    <n v="30"/>
  </r>
  <r>
    <x v="1"/>
    <x v="3"/>
    <n v="4"/>
    <x v="0"/>
    <n v="1020"/>
    <n v="650"/>
    <n v="20"/>
    <n v="30"/>
    <n v="0.55000000000000004"/>
    <n v="0.51"/>
    <n v="0.94"/>
    <n v="0.92"/>
    <n v="10"/>
    <n v="9"/>
    <n v="6"/>
    <n v="5"/>
    <n v="8"/>
    <n v="30"/>
  </r>
  <r>
    <x v="1"/>
    <x v="4"/>
    <n v="5"/>
    <x v="0"/>
    <n v="1150"/>
    <n v="550"/>
    <n v="18"/>
    <n v="15"/>
    <n v="0.6"/>
    <n v="0.47"/>
    <n v="0.95"/>
    <n v="0.69"/>
    <n v="5"/>
    <n v="6"/>
    <n v="6"/>
    <n v="7"/>
    <n v="7"/>
    <n v="30"/>
  </r>
  <r>
    <x v="1"/>
    <x v="5"/>
    <n v="6"/>
    <x v="0"/>
    <n v="1100"/>
    <n v="600"/>
    <n v="21"/>
    <n v="20"/>
    <n v="0.57999999999999996"/>
    <n v="0.67"/>
    <n v="0.41"/>
    <n v="0.66"/>
    <n v="6"/>
    <n v="9"/>
    <n v="6"/>
    <n v="8"/>
    <n v="8"/>
    <n v="30"/>
  </r>
  <r>
    <x v="1"/>
    <x v="6"/>
    <n v="7"/>
    <x v="0"/>
    <n v="950"/>
    <n v="750"/>
    <n v="17"/>
    <n v="22"/>
    <n v="0.84"/>
    <n v="0.57999999999999996"/>
    <n v="0.95"/>
    <n v="0.97"/>
    <n v="7"/>
    <n v="9"/>
    <n v="7"/>
    <n v="8"/>
    <n v="9"/>
    <n v="30"/>
  </r>
  <r>
    <x v="1"/>
    <x v="7"/>
    <n v="8"/>
    <x v="0"/>
    <n v="850"/>
    <n v="900"/>
    <n v="15"/>
    <n v="28"/>
    <n v="0.42"/>
    <n v="0.59"/>
    <n v="0.56000000000000005"/>
    <n v="0.93"/>
    <n v="6"/>
    <n v="7"/>
    <n v="8"/>
    <n v="9"/>
    <n v="6"/>
    <n v="30"/>
  </r>
  <r>
    <x v="1"/>
    <x v="8"/>
    <n v="9"/>
    <x v="0"/>
    <n v="700"/>
    <n v="1000"/>
    <n v="11"/>
    <n v="34"/>
    <n v="0.62"/>
    <n v="0.96"/>
    <n v="0.7"/>
    <n v="0.85"/>
    <n v="7"/>
    <n v="7"/>
    <n v="5"/>
    <n v="8"/>
    <n v="7"/>
    <n v="30"/>
  </r>
  <r>
    <x v="1"/>
    <x v="9"/>
    <n v="10"/>
    <x v="0"/>
    <n v="650"/>
    <n v="850"/>
    <n v="8"/>
    <n v="23"/>
    <n v="0.88"/>
    <n v="0.6"/>
    <n v="0.48"/>
    <n v="0.47"/>
    <n v="9"/>
    <n v="5"/>
    <n v="8"/>
    <n v="6"/>
    <n v="6"/>
    <n v="30"/>
  </r>
  <r>
    <x v="1"/>
    <x v="10"/>
    <n v="11"/>
    <x v="0"/>
    <n v="800"/>
    <n v="700"/>
    <n v="2"/>
    <n v="21"/>
    <n v="0.93"/>
    <n v="0.63"/>
    <n v="0.94"/>
    <n v="0.47"/>
    <n v="9"/>
    <n v="7"/>
    <n v="5"/>
    <n v="6"/>
    <n v="10"/>
    <n v="30"/>
  </r>
  <r>
    <x v="1"/>
    <x v="11"/>
    <n v="12"/>
    <x v="0"/>
    <n v="900"/>
    <n v="600"/>
    <n v="1"/>
    <n v="2"/>
    <n v="0.93"/>
    <n v="0.82"/>
    <n v="0.69"/>
    <n v="0.79"/>
    <n v="10"/>
    <n v="10"/>
    <n v="6"/>
    <n v="10"/>
    <n v="7"/>
    <n v="30"/>
  </r>
  <r>
    <x v="2"/>
    <x v="0"/>
    <n v="1"/>
    <x v="0"/>
    <n v="850"/>
    <n v="950"/>
    <n v="40"/>
    <n v="15"/>
    <n v="0.45"/>
    <n v="0.78"/>
    <n v="0.59"/>
    <n v="0.83"/>
    <n v="7"/>
    <n v="8"/>
    <n v="9"/>
    <n v="9"/>
    <n v="8"/>
    <n v="25"/>
  </r>
  <r>
    <x v="2"/>
    <x v="1"/>
    <n v="2"/>
    <x v="0"/>
    <n v="980"/>
    <n v="1050"/>
    <n v="35"/>
    <n v="20"/>
    <n v="0.52"/>
    <n v="0.93"/>
    <n v="0.89"/>
    <n v="0.42"/>
    <n v="6"/>
    <n v="7"/>
    <n v="8"/>
    <n v="5"/>
    <n v="5"/>
    <n v="25"/>
  </r>
  <r>
    <x v="2"/>
    <x v="2"/>
    <n v="3"/>
    <x v="0"/>
    <n v="1100"/>
    <n v="850"/>
    <n v="30"/>
    <n v="25"/>
    <n v="0.62"/>
    <n v="0.6"/>
    <n v="0.9"/>
    <n v="0.87"/>
    <n v="9"/>
    <n v="10"/>
    <n v="8"/>
    <n v="9"/>
    <n v="7"/>
    <n v="25"/>
  </r>
  <r>
    <x v="2"/>
    <x v="3"/>
    <n v="4"/>
    <x v="0"/>
    <n v="1220"/>
    <n v="750"/>
    <n v="25"/>
    <n v="20"/>
    <n v="0.72"/>
    <n v="0.77"/>
    <n v="0.83"/>
    <n v="0.79"/>
    <n v="9"/>
    <n v="6"/>
    <n v="9"/>
    <n v="9"/>
    <n v="7"/>
    <n v="25"/>
  </r>
  <r>
    <x v="2"/>
    <x v="4"/>
    <n v="5"/>
    <x v="0"/>
    <n v="1350"/>
    <n v="650"/>
    <n v="25"/>
    <n v="35"/>
    <n v="0.68"/>
    <n v="0.88"/>
    <n v="0.48"/>
    <n v="0.72"/>
    <n v="6"/>
    <n v="8"/>
    <n v="5"/>
    <n v="6"/>
    <n v="7"/>
    <n v="25"/>
  </r>
  <r>
    <x v="2"/>
    <x v="5"/>
    <n v="6"/>
    <x v="0"/>
    <n v="1260"/>
    <n v="700"/>
    <n v="20"/>
    <n v="20"/>
    <n v="0.64"/>
    <n v="0.49"/>
    <n v="0.64"/>
    <n v="0.57999999999999996"/>
    <n v="7"/>
    <n v="7"/>
    <n v="10"/>
    <n v="5"/>
    <n v="7"/>
    <n v="25"/>
  </r>
  <r>
    <x v="2"/>
    <x v="6"/>
    <n v="7"/>
    <x v="0"/>
    <n v="1120"/>
    <n v="800"/>
    <n v="15"/>
    <n v="5"/>
    <n v="0.41"/>
    <n v="0.47"/>
    <n v="0.4"/>
    <n v="0.55000000000000004"/>
    <n v="6"/>
    <n v="7"/>
    <n v="5"/>
    <n v="10"/>
    <n v="8"/>
    <n v="25"/>
  </r>
  <r>
    <x v="2"/>
    <x v="7"/>
    <n v="8"/>
    <x v="0"/>
    <n v="980"/>
    <n v="980"/>
    <n v="15"/>
    <n v="10"/>
    <n v="0.6"/>
    <n v="0.44"/>
    <n v="0.88"/>
    <n v="0.76"/>
    <n v="7"/>
    <n v="10"/>
    <n v="8"/>
    <n v="9"/>
    <n v="10"/>
    <n v="25"/>
  </r>
  <r>
    <x v="2"/>
    <x v="8"/>
    <n v="9"/>
    <x v="0"/>
    <n v="860"/>
    <n v="1000"/>
    <n v="10"/>
    <n v="20"/>
    <n v="0.66"/>
    <n v="0.88"/>
    <n v="0.94"/>
    <n v="0.51"/>
    <n v="6"/>
    <n v="5"/>
    <n v="8"/>
    <n v="6"/>
    <n v="6"/>
    <n v="25"/>
  </r>
  <r>
    <x v="2"/>
    <x v="9"/>
    <n v="10"/>
    <x v="0"/>
    <n v="800"/>
    <n v="880"/>
    <n v="10"/>
    <n v="30"/>
    <n v="0.79"/>
    <n v="0.64"/>
    <n v="0.72"/>
    <n v="1"/>
    <n v="7"/>
    <n v="8"/>
    <n v="5"/>
    <n v="9"/>
    <n v="10"/>
    <n v="25"/>
  </r>
  <r>
    <x v="2"/>
    <x v="10"/>
    <n v="11"/>
    <x v="0"/>
    <n v="920"/>
    <n v="720"/>
    <n v="10"/>
    <n v="25"/>
    <n v="0.65"/>
    <n v="0.83"/>
    <n v="1"/>
    <n v="0.86"/>
    <n v="7"/>
    <n v="6"/>
    <n v="10"/>
    <n v="9"/>
    <n v="5"/>
    <n v="25"/>
  </r>
  <r>
    <x v="2"/>
    <x v="11"/>
    <n v="12"/>
    <x v="0"/>
    <n v="1020"/>
    <n v="640"/>
    <n v="5"/>
    <n v="25"/>
    <n v="0.72"/>
    <n v="0.4"/>
    <n v="0.42"/>
    <n v="0.87"/>
    <n v="5"/>
    <n v="6"/>
    <n v="9"/>
    <n v="6"/>
    <n v="8"/>
    <n v="25"/>
  </r>
  <r>
    <x v="0"/>
    <x v="0"/>
    <n v="1"/>
    <x v="1"/>
    <n v="700"/>
    <n v="850"/>
    <n v="60"/>
    <n v="0"/>
    <n v="0.56999999999999995"/>
    <n v="0.55000000000000004"/>
    <n v="0.43"/>
    <n v="0.85"/>
    <n v="9"/>
    <n v="8"/>
    <n v="5"/>
    <n v="6"/>
    <n v="10"/>
    <n v="45"/>
  </r>
  <r>
    <x v="0"/>
    <x v="1"/>
    <n v="2"/>
    <x v="1"/>
    <n v="820"/>
    <n v="950"/>
    <n v="55"/>
    <n v="5"/>
    <n v="0.92"/>
    <n v="0.93"/>
    <n v="0.54"/>
    <n v="0.59"/>
    <n v="6"/>
    <n v="6"/>
    <n v="7"/>
    <n v="10"/>
    <n v="8"/>
    <n v="45"/>
  </r>
  <r>
    <x v="0"/>
    <x v="2"/>
    <n v="3"/>
    <x v="1"/>
    <n v="950"/>
    <n v="750"/>
    <n v="50"/>
    <n v="8"/>
    <n v="0.98"/>
    <n v="0.75"/>
    <n v="0.61"/>
    <n v="0.43"/>
    <n v="6"/>
    <n v="9"/>
    <n v="5"/>
    <n v="9"/>
    <n v="8"/>
    <n v="45"/>
  </r>
  <r>
    <x v="0"/>
    <x v="3"/>
    <n v="4"/>
    <x v="1"/>
    <n v="1080"/>
    <n v="650"/>
    <n v="45"/>
    <n v="10"/>
    <n v="0.47"/>
    <n v="0.65"/>
    <n v="0.52"/>
    <n v="0.89"/>
    <n v="6"/>
    <n v="10"/>
    <n v="8"/>
    <n v="8"/>
    <n v="7"/>
    <n v="45"/>
  </r>
  <r>
    <x v="0"/>
    <x v="4"/>
    <n v="5"/>
    <x v="1"/>
    <n v="1200"/>
    <n v="500"/>
    <n v="40"/>
    <n v="20"/>
    <n v="0.54"/>
    <n v="0.88"/>
    <n v="0.75"/>
    <n v="0.52"/>
    <n v="6"/>
    <n v="6"/>
    <n v="9"/>
    <n v="9"/>
    <n v="9"/>
    <n v="45"/>
  </r>
  <r>
    <x v="0"/>
    <x v="5"/>
    <n v="6"/>
    <x v="1"/>
    <n v="1120"/>
    <n v="550"/>
    <n v="35"/>
    <n v="30"/>
    <n v="0.91"/>
    <n v="0.49"/>
    <n v="0.48"/>
    <n v="0.65"/>
    <n v="9"/>
    <n v="9"/>
    <n v="9"/>
    <n v="5"/>
    <n v="9"/>
    <n v="45"/>
  </r>
  <r>
    <x v="0"/>
    <x v="6"/>
    <n v="7"/>
    <x v="1"/>
    <n v="980"/>
    <n v="700"/>
    <n v="25"/>
    <n v="40"/>
    <n v="0.6"/>
    <n v="0.86"/>
    <n v="0.84"/>
    <n v="0.49"/>
    <n v="10"/>
    <n v="8"/>
    <n v="6"/>
    <n v="6"/>
    <n v="10"/>
    <n v="45"/>
  </r>
  <r>
    <x v="0"/>
    <x v="7"/>
    <n v="8"/>
    <x v="1"/>
    <n v="850"/>
    <n v="880"/>
    <n v="15"/>
    <n v="60"/>
    <n v="0.68"/>
    <n v="0.85"/>
    <n v="0.75"/>
    <n v="0.43"/>
    <n v="6"/>
    <n v="8"/>
    <n v="10"/>
    <n v="8"/>
    <n v="7"/>
    <n v="45"/>
  </r>
  <r>
    <x v="0"/>
    <x v="8"/>
    <n v="9"/>
    <x v="1"/>
    <n v="720"/>
    <n v="920"/>
    <n v="10"/>
    <n v="100"/>
    <n v="0.83"/>
    <n v="0.93"/>
    <n v="0.91"/>
    <n v="0.51"/>
    <n v="10"/>
    <n v="6"/>
    <n v="8"/>
    <n v="10"/>
    <n v="8"/>
    <n v="45"/>
  </r>
  <r>
    <x v="0"/>
    <x v="9"/>
    <n v="10"/>
    <x v="1"/>
    <n v="680"/>
    <n v="780"/>
    <n v="5"/>
    <n v="50"/>
    <n v="0.71"/>
    <n v="0.83"/>
    <n v="0.83"/>
    <n v="0.72"/>
    <n v="8"/>
    <n v="5"/>
    <n v="9"/>
    <n v="5"/>
    <n v="7"/>
    <n v="45"/>
  </r>
  <r>
    <x v="0"/>
    <x v="10"/>
    <n v="11"/>
    <x v="1"/>
    <n v="800"/>
    <n v="650"/>
    <n v="5"/>
    <n v="10"/>
    <n v="0.92"/>
    <n v="0.7"/>
    <n v="0.77"/>
    <n v="0.68"/>
    <n v="7"/>
    <n v="8"/>
    <n v="9"/>
    <n v="8"/>
    <n v="9"/>
    <n v="45"/>
  </r>
  <r>
    <x v="0"/>
    <x v="11"/>
    <n v="12"/>
    <x v="1"/>
    <n v="920"/>
    <n v="550"/>
    <n v="0"/>
    <n v="12"/>
    <n v="0.99"/>
    <n v="0.66"/>
    <n v="1"/>
    <n v="0.42"/>
    <n v="6"/>
    <n v="5"/>
    <n v="5"/>
    <n v="9"/>
    <n v="10"/>
    <n v="45"/>
  </r>
  <r>
    <x v="1"/>
    <x v="0"/>
    <n v="1"/>
    <x v="1"/>
    <n v="500"/>
    <n v="400"/>
    <n v="50"/>
    <n v="3"/>
    <n v="0.54"/>
    <n v="0.69"/>
    <n v="0.46"/>
    <n v="0.71"/>
    <n v="8"/>
    <n v="10"/>
    <n v="9"/>
    <n v="7"/>
    <n v="6"/>
    <n v="35"/>
  </r>
  <r>
    <x v="1"/>
    <x v="1"/>
    <n v="2"/>
    <x v="1"/>
    <n v="400"/>
    <n v="500"/>
    <n v="45"/>
    <n v="10"/>
    <n v="0.49"/>
    <n v="0.62"/>
    <n v="0.88"/>
    <n v="0.61"/>
    <n v="9"/>
    <n v="8"/>
    <n v="7"/>
    <n v="5"/>
    <n v="10"/>
    <n v="35"/>
  </r>
  <r>
    <x v="1"/>
    <x v="2"/>
    <n v="3"/>
    <x v="1"/>
    <n v="520"/>
    <n v="380"/>
    <n v="40"/>
    <n v="15"/>
    <n v="0.97"/>
    <n v="1"/>
    <n v="0.93"/>
    <n v="0.7"/>
    <n v="10"/>
    <n v="8"/>
    <n v="5"/>
    <n v="5"/>
    <n v="6"/>
    <n v="35"/>
  </r>
  <r>
    <x v="1"/>
    <x v="3"/>
    <n v="4"/>
    <x v="1"/>
    <n v="450"/>
    <n v="550"/>
    <n v="35"/>
    <n v="25"/>
    <n v="0.77"/>
    <n v="0.45"/>
    <n v="0.47"/>
    <n v="0.54"/>
    <n v="10"/>
    <n v="9"/>
    <n v="6"/>
    <n v="10"/>
    <n v="7"/>
    <n v="35"/>
  </r>
  <r>
    <x v="1"/>
    <x v="4"/>
    <n v="5"/>
    <x v="1"/>
    <n v="600"/>
    <n v="480"/>
    <n v="30"/>
    <n v="30"/>
    <n v="0.74"/>
    <n v="0.52"/>
    <n v="0.66"/>
    <n v="0.56999999999999995"/>
    <n v="5"/>
    <n v="5"/>
    <n v="8"/>
    <n v="5"/>
    <n v="6"/>
    <n v="35"/>
  </r>
  <r>
    <x v="1"/>
    <x v="5"/>
    <n v="6"/>
    <x v="1"/>
    <n v="550"/>
    <n v="650"/>
    <n v="30"/>
    <n v="30"/>
    <n v="0.84"/>
    <n v="0.83"/>
    <n v="0.72"/>
    <n v="0.77"/>
    <n v="8"/>
    <n v="5"/>
    <n v="6"/>
    <n v="9"/>
    <n v="10"/>
    <n v="35"/>
  </r>
  <r>
    <x v="1"/>
    <x v="6"/>
    <n v="7"/>
    <x v="1"/>
    <n v="700"/>
    <n v="600"/>
    <n v="25"/>
    <n v="30"/>
    <n v="0.79"/>
    <n v="0.95"/>
    <n v="0.89"/>
    <n v="0.43"/>
    <n v="5"/>
    <n v="9"/>
    <n v="6"/>
    <n v="8"/>
    <n v="10"/>
    <n v="35"/>
  </r>
  <r>
    <x v="1"/>
    <x v="7"/>
    <n v="8"/>
    <x v="1"/>
    <n v="620"/>
    <n v="720"/>
    <n v="30"/>
    <n v="35"/>
    <n v="0.53"/>
    <n v="0.82"/>
    <n v="0.61"/>
    <n v="0.56000000000000005"/>
    <n v="10"/>
    <n v="10"/>
    <n v="8"/>
    <n v="5"/>
    <n v="10"/>
    <n v="35"/>
  </r>
  <r>
    <x v="1"/>
    <x v="8"/>
    <n v="9"/>
    <x v="1"/>
    <n v="750"/>
    <n v="680"/>
    <n v="20"/>
    <n v="35"/>
    <n v="0.75"/>
    <n v="0.59"/>
    <n v="0.8"/>
    <n v="0.6"/>
    <n v="8"/>
    <n v="6"/>
    <n v="7"/>
    <n v="6"/>
    <n v="6"/>
    <n v="35"/>
  </r>
  <r>
    <x v="1"/>
    <x v="9"/>
    <n v="10"/>
    <x v="1"/>
    <n v="680"/>
    <n v="800"/>
    <n v="15"/>
    <n v="37"/>
    <n v="0.78"/>
    <n v="0.5"/>
    <n v="0.75"/>
    <n v="0.4"/>
    <n v="7"/>
    <n v="5"/>
    <n v="9"/>
    <n v="10"/>
    <n v="6"/>
    <n v="35"/>
  </r>
  <r>
    <x v="1"/>
    <x v="10"/>
    <n v="11"/>
    <x v="1"/>
    <n v="820"/>
    <n v="700"/>
    <n v="15"/>
    <n v="40"/>
    <n v="0.41"/>
    <n v="0.63"/>
    <n v="0.89"/>
    <n v="0.86"/>
    <n v="5"/>
    <n v="7"/>
    <n v="10"/>
    <n v="5"/>
    <n v="9"/>
    <n v="35"/>
  </r>
  <r>
    <x v="1"/>
    <x v="11"/>
    <n v="12"/>
    <x v="1"/>
    <n v="740"/>
    <n v="780"/>
    <n v="10"/>
    <n v="45"/>
    <n v="0.42"/>
    <n v="0.92"/>
    <n v="0.62"/>
    <n v="0.81"/>
    <n v="10"/>
    <n v="10"/>
    <n v="8"/>
    <n v="8"/>
    <n v="5"/>
    <n v="35"/>
  </r>
  <r>
    <x v="2"/>
    <x v="0"/>
    <n v="1"/>
    <x v="1"/>
    <n v="700"/>
    <n v="1000"/>
    <n v="44"/>
    <n v="5"/>
    <n v="0.78"/>
    <n v="0.48"/>
    <n v="0.48"/>
    <n v="0.9"/>
    <n v="10"/>
    <n v="9"/>
    <n v="9"/>
    <n v="6"/>
    <n v="5"/>
    <n v="20"/>
  </r>
  <r>
    <x v="2"/>
    <x v="1"/>
    <n v="2"/>
    <x v="1"/>
    <n v="850"/>
    <n v="850"/>
    <n v="17"/>
    <n v="12"/>
    <n v="0.95"/>
    <n v="0.85"/>
    <n v="0.59"/>
    <n v="0.61"/>
    <n v="10"/>
    <n v="5"/>
    <n v="10"/>
    <n v="9"/>
    <n v="6"/>
    <n v="20"/>
  </r>
  <r>
    <x v="2"/>
    <x v="2"/>
    <n v="3"/>
    <x v="1"/>
    <n v="1000"/>
    <n v="700"/>
    <n v="14"/>
    <n v="10"/>
    <n v="0.77"/>
    <n v="0.43"/>
    <n v="0.99"/>
    <n v="0.49"/>
    <n v="10"/>
    <n v="5"/>
    <n v="10"/>
    <n v="5"/>
    <n v="8"/>
    <n v="20"/>
  </r>
  <r>
    <x v="2"/>
    <x v="3"/>
    <n v="4"/>
    <x v="1"/>
    <n v="850"/>
    <n v="850"/>
    <n v="13"/>
    <n v="15"/>
    <n v="0.41"/>
    <n v="0.99"/>
    <n v="0.47"/>
    <n v="0.76"/>
    <n v="7"/>
    <n v="6"/>
    <n v="10"/>
    <n v="5"/>
    <n v="6"/>
    <n v="20"/>
  </r>
  <r>
    <x v="2"/>
    <x v="4"/>
    <n v="5"/>
    <x v="1"/>
    <n v="700"/>
    <n v="1000"/>
    <n v="13"/>
    <n v="26"/>
    <n v="0.42"/>
    <n v="0.57999999999999996"/>
    <n v="0.92"/>
    <n v="0.57999999999999996"/>
    <n v="9"/>
    <n v="7"/>
    <n v="6"/>
    <n v="7"/>
    <n v="5"/>
    <n v="20"/>
  </r>
  <r>
    <x v="2"/>
    <x v="5"/>
    <n v="6"/>
    <x v="1"/>
    <n v="550"/>
    <n v="1150"/>
    <n v="12"/>
    <n v="22"/>
    <n v="0.53"/>
    <n v="0.59"/>
    <n v="0.89"/>
    <n v="0.49"/>
    <n v="9"/>
    <n v="6"/>
    <n v="6"/>
    <n v="10"/>
    <n v="6"/>
    <n v="20"/>
  </r>
  <r>
    <x v="2"/>
    <x v="6"/>
    <n v="7"/>
    <x v="1"/>
    <n v="650"/>
    <n v="1050"/>
    <n v="11"/>
    <n v="20"/>
    <n v="0.43"/>
    <n v="0.6"/>
    <n v="0.77"/>
    <n v="0.65"/>
    <n v="9"/>
    <n v="7"/>
    <n v="9"/>
    <n v="5"/>
    <n v="8"/>
    <n v="20"/>
  </r>
  <r>
    <x v="2"/>
    <x v="7"/>
    <n v="8"/>
    <x v="1"/>
    <n v="750"/>
    <n v="950"/>
    <n v="11"/>
    <n v="15"/>
    <n v="0.93"/>
    <n v="0.67"/>
    <n v="0.9"/>
    <n v="0.64"/>
    <n v="5"/>
    <n v="9"/>
    <n v="8"/>
    <n v="7"/>
    <n v="10"/>
    <n v="20"/>
  </r>
  <r>
    <x v="2"/>
    <x v="8"/>
    <n v="9"/>
    <x v="1"/>
    <n v="850"/>
    <n v="850"/>
    <n v="7"/>
    <n v="10"/>
    <n v="0.83"/>
    <n v="0.51"/>
    <n v="0.66"/>
    <n v="0.97"/>
    <n v="9"/>
    <n v="5"/>
    <n v="7"/>
    <n v="10"/>
    <n v="7"/>
    <n v="20"/>
  </r>
  <r>
    <x v="2"/>
    <x v="9"/>
    <n v="10"/>
    <x v="1"/>
    <n v="950"/>
    <n v="750"/>
    <n v="6"/>
    <n v="9"/>
    <n v="0.42"/>
    <n v="0.56999999999999995"/>
    <n v="0.56000000000000005"/>
    <n v="0.48"/>
    <n v="6"/>
    <n v="5"/>
    <n v="8"/>
    <n v="5"/>
    <n v="7"/>
    <n v="20"/>
  </r>
  <r>
    <x v="2"/>
    <x v="10"/>
    <n v="11"/>
    <x v="1"/>
    <n v="1050"/>
    <n v="650"/>
    <n v="5"/>
    <n v="8"/>
    <n v="0.48"/>
    <n v="0.9"/>
    <n v="0.86"/>
    <n v="0.99"/>
    <n v="5"/>
    <n v="10"/>
    <n v="5"/>
    <n v="9"/>
    <n v="10"/>
    <n v="20"/>
  </r>
  <r>
    <x v="2"/>
    <x v="11"/>
    <n v="12"/>
    <x v="1"/>
    <n v="1150"/>
    <n v="550"/>
    <n v="5"/>
    <n v="6"/>
    <n v="1"/>
    <n v="0.66"/>
    <n v="0.62"/>
    <n v="0.88"/>
    <n v="10"/>
    <n v="5"/>
    <n v="5"/>
    <n v="8"/>
    <n v="8"/>
    <n v="20"/>
  </r>
  <r>
    <x v="0"/>
    <x v="0"/>
    <n v="1"/>
    <x v="2"/>
    <n v="600"/>
    <n v="950"/>
    <n v="43"/>
    <n v="5"/>
    <n v="0.55000000000000004"/>
    <n v="0.45"/>
    <n v="0.52"/>
    <n v="0.77"/>
    <n v="7"/>
    <n v="6"/>
    <n v="8"/>
    <n v="10"/>
    <n v="7"/>
    <n v="30"/>
  </r>
  <r>
    <x v="0"/>
    <x v="1"/>
    <n v="2"/>
    <x v="2"/>
    <n v="650"/>
    <n v="900"/>
    <n v="40"/>
    <n v="19"/>
    <n v="0.91"/>
    <n v="0.85"/>
    <n v="0.97"/>
    <n v="0.85"/>
    <n v="6"/>
    <n v="5"/>
    <n v="10"/>
    <n v="8"/>
    <n v="10"/>
    <n v="30"/>
  </r>
  <r>
    <x v="0"/>
    <x v="2"/>
    <n v="3"/>
    <x v="2"/>
    <n v="700"/>
    <n v="850"/>
    <n v="36"/>
    <n v="21"/>
    <n v="0.44"/>
    <n v="0.55000000000000004"/>
    <n v="0.6"/>
    <n v="0.8"/>
    <n v="8"/>
    <n v="9"/>
    <n v="8"/>
    <n v="6"/>
    <n v="8"/>
    <n v="30"/>
  </r>
  <r>
    <x v="0"/>
    <x v="3"/>
    <n v="4"/>
    <x v="2"/>
    <n v="750"/>
    <n v="800"/>
    <n v="33"/>
    <n v="24"/>
    <n v="0.76"/>
    <n v="0.89"/>
    <n v="0.53"/>
    <n v="0.95"/>
    <n v="6"/>
    <n v="8"/>
    <n v="10"/>
    <n v="8"/>
    <n v="10"/>
    <n v="30"/>
  </r>
  <r>
    <x v="0"/>
    <x v="4"/>
    <n v="5"/>
    <x v="2"/>
    <n v="800"/>
    <n v="750"/>
    <n v="27"/>
    <n v="15"/>
    <n v="0.99"/>
    <n v="0.8"/>
    <n v="0.51"/>
    <n v="0.76"/>
    <n v="9"/>
    <n v="5"/>
    <n v="6"/>
    <n v="5"/>
    <n v="7"/>
    <n v="30"/>
  </r>
  <r>
    <x v="0"/>
    <x v="5"/>
    <n v="6"/>
    <x v="2"/>
    <n v="850"/>
    <n v="700"/>
    <n v="26"/>
    <n v="22"/>
    <n v="0.66"/>
    <n v="0.77"/>
    <n v="0.67"/>
    <n v="0.62"/>
    <n v="6"/>
    <n v="8"/>
    <n v="7"/>
    <n v="6"/>
    <n v="8"/>
    <n v="30"/>
  </r>
  <r>
    <x v="0"/>
    <x v="6"/>
    <n v="7"/>
    <x v="2"/>
    <n v="900"/>
    <n v="650"/>
    <n v="23"/>
    <n v="27"/>
    <n v="0.76"/>
    <n v="0.73"/>
    <n v="0.72"/>
    <n v="0.63"/>
    <n v="10"/>
    <n v="7"/>
    <n v="9"/>
    <n v="6"/>
    <n v="5"/>
    <n v="30"/>
  </r>
  <r>
    <x v="0"/>
    <x v="7"/>
    <n v="8"/>
    <x v="2"/>
    <n v="950"/>
    <n v="600"/>
    <n v="20"/>
    <n v="33"/>
    <n v="0.84"/>
    <n v="0.88"/>
    <n v="0.56000000000000005"/>
    <n v="0.42"/>
    <n v="7"/>
    <n v="5"/>
    <n v="6"/>
    <n v="8"/>
    <n v="8"/>
    <n v="30"/>
  </r>
  <r>
    <x v="0"/>
    <x v="8"/>
    <n v="9"/>
    <x v="2"/>
    <n v="1000"/>
    <n v="650"/>
    <n v="16"/>
    <n v="39"/>
    <n v="0.93"/>
    <n v="0.95"/>
    <n v="0.42"/>
    <n v="0.68"/>
    <n v="10"/>
    <n v="6"/>
    <n v="8"/>
    <n v="6"/>
    <n v="5"/>
    <n v="30"/>
  </r>
  <r>
    <x v="0"/>
    <x v="9"/>
    <n v="10"/>
    <x v="2"/>
    <n v="1050"/>
    <n v="700"/>
    <n v="11"/>
    <n v="44"/>
    <n v="0.86"/>
    <n v="0.67"/>
    <n v="0.75"/>
    <n v="0.42"/>
    <n v="7"/>
    <n v="10"/>
    <n v="9"/>
    <n v="5"/>
    <n v="9"/>
    <n v="30"/>
  </r>
  <r>
    <x v="0"/>
    <x v="10"/>
    <n v="11"/>
    <x v="2"/>
    <n v="1100"/>
    <n v="750"/>
    <n v="10"/>
    <n v="30"/>
    <n v="0.68"/>
    <n v="0.52"/>
    <n v="0.4"/>
    <n v="0.71"/>
    <n v="9"/>
    <n v="5"/>
    <n v="5"/>
    <n v="6"/>
    <n v="9"/>
    <n v="30"/>
  </r>
  <r>
    <x v="0"/>
    <x v="11"/>
    <n v="12"/>
    <x v="2"/>
    <n v="1150"/>
    <n v="800"/>
    <n v="5"/>
    <n v="5"/>
    <n v="0.4"/>
    <n v="0.4"/>
    <n v="0.8"/>
    <n v="0.72"/>
    <n v="5"/>
    <n v="5"/>
    <n v="8"/>
    <n v="5"/>
    <n v="8"/>
    <n v="30"/>
  </r>
  <r>
    <x v="1"/>
    <x v="0"/>
    <n v="1"/>
    <x v="2"/>
    <n v="900"/>
    <n v="1000"/>
    <n v="41"/>
    <n v="12"/>
    <n v="0.9"/>
    <n v="0.82"/>
    <n v="0.86"/>
    <n v="0.56000000000000005"/>
    <n v="8"/>
    <n v="5"/>
    <n v="5"/>
    <n v="9"/>
    <n v="10"/>
    <n v="15"/>
  </r>
  <r>
    <x v="1"/>
    <x v="1"/>
    <n v="2"/>
    <x v="2"/>
    <n v="950"/>
    <n v="1100"/>
    <n v="8"/>
    <n v="9"/>
    <n v="0.56000000000000005"/>
    <n v="0.68"/>
    <n v="0.67"/>
    <n v="0.79"/>
    <n v="8"/>
    <n v="9"/>
    <n v="10"/>
    <n v="5"/>
    <n v="10"/>
    <n v="15"/>
  </r>
  <r>
    <x v="1"/>
    <x v="2"/>
    <n v="3"/>
    <x v="2"/>
    <n v="1000"/>
    <n v="1190"/>
    <n v="8"/>
    <n v="7"/>
    <n v="0.49"/>
    <n v="0.57999999999999996"/>
    <n v="0.63"/>
    <n v="0.48"/>
    <n v="6"/>
    <n v="8"/>
    <n v="10"/>
    <n v="6"/>
    <n v="8"/>
    <n v="15"/>
  </r>
  <r>
    <x v="1"/>
    <x v="3"/>
    <n v="4"/>
    <x v="2"/>
    <n v="1050"/>
    <n v="1130"/>
    <n v="10"/>
    <n v="23"/>
    <n v="0.85"/>
    <n v="0.53"/>
    <n v="0.44"/>
    <n v="0.68"/>
    <n v="5"/>
    <n v="5"/>
    <n v="7"/>
    <n v="9"/>
    <n v="10"/>
    <n v="15"/>
  </r>
  <r>
    <x v="1"/>
    <x v="4"/>
    <n v="5"/>
    <x v="2"/>
    <n v="1100"/>
    <n v="1090"/>
    <n v="14"/>
    <n v="19"/>
    <n v="0.56999999999999995"/>
    <n v="0.99"/>
    <n v="0.86"/>
    <n v="0.52"/>
    <n v="10"/>
    <n v="8"/>
    <n v="10"/>
    <n v="7"/>
    <n v="5"/>
    <n v="15"/>
  </r>
  <r>
    <x v="1"/>
    <x v="5"/>
    <n v="6"/>
    <x v="2"/>
    <n v="1150"/>
    <n v="1040"/>
    <n v="11"/>
    <n v="17"/>
    <n v="0.99"/>
    <n v="0.56000000000000005"/>
    <n v="0.47"/>
    <n v="0.9"/>
    <n v="10"/>
    <n v="6"/>
    <n v="9"/>
    <n v="5"/>
    <n v="7"/>
    <n v="15"/>
  </r>
  <r>
    <x v="1"/>
    <x v="6"/>
    <n v="7"/>
    <x v="2"/>
    <n v="1200"/>
    <n v="970"/>
    <n v="10"/>
    <n v="12"/>
    <n v="0.69"/>
    <n v="0.49"/>
    <n v="1"/>
    <n v="0.66"/>
    <n v="7"/>
    <n v="7"/>
    <n v="8"/>
    <n v="8"/>
    <n v="10"/>
    <n v="15"/>
  </r>
  <r>
    <x v="1"/>
    <x v="7"/>
    <n v="8"/>
    <x v="2"/>
    <n v="1250"/>
    <n v="910"/>
    <n v="9"/>
    <n v="7"/>
    <n v="0.91"/>
    <n v="0.81"/>
    <n v="0.83"/>
    <n v="0.67"/>
    <n v="5"/>
    <n v="10"/>
    <n v="9"/>
    <n v="9"/>
    <n v="6"/>
    <n v="15"/>
  </r>
  <r>
    <x v="1"/>
    <x v="8"/>
    <n v="9"/>
    <x v="2"/>
    <n v="1300"/>
    <n v="870"/>
    <n v="4"/>
    <n v="6"/>
    <n v="0.4"/>
    <n v="0.43"/>
    <n v="0.61"/>
    <n v="0.68"/>
    <n v="9"/>
    <n v="8"/>
    <n v="5"/>
    <n v="10"/>
    <n v="10"/>
    <n v="15"/>
  </r>
  <r>
    <x v="1"/>
    <x v="9"/>
    <n v="10"/>
    <x v="2"/>
    <n v="1280"/>
    <n v="970"/>
    <n v="3"/>
    <n v="5"/>
    <n v="0.83"/>
    <n v="0.7"/>
    <n v="1"/>
    <n v="0.8"/>
    <n v="6"/>
    <n v="6"/>
    <n v="8"/>
    <n v="9"/>
    <n v="7"/>
    <n v="15"/>
  </r>
  <r>
    <x v="1"/>
    <x v="10"/>
    <n v="11"/>
    <x v="2"/>
    <n v="1220"/>
    <n v="1090"/>
    <n v="2"/>
    <n v="3"/>
    <n v="0.64"/>
    <n v="1"/>
    <n v="0.98"/>
    <n v="0.76"/>
    <n v="5"/>
    <n v="6"/>
    <n v="6"/>
    <n v="9"/>
    <n v="6"/>
    <n v="15"/>
  </r>
  <r>
    <x v="1"/>
    <x v="11"/>
    <n v="12"/>
    <x v="2"/>
    <n v="1150"/>
    <n v="1190"/>
    <n v="2"/>
    <n v="2"/>
    <n v="0.71"/>
    <n v="0.42"/>
    <n v="0.93"/>
    <n v="0.79"/>
    <n v="9"/>
    <n v="5"/>
    <n v="10"/>
    <n v="7"/>
    <n v="9"/>
    <n v="15"/>
  </r>
  <r>
    <x v="2"/>
    <x v="0"/>
    <n v="1"/>
    <x v="2"/>
    <n v="1350"/>
    <n v="950"/>
    <n v="40"/>
    <n v="24"/>
    <n v="0.82"/>
    <n v="0.98"/>
    <n v="0.98"/>
    <n v="0.75"/>
    <n v="10"/>
    <n v="9"/>
    <n v="8"/>
    <n v="6"/>
    <n v="10"/>
    <n v="25"/>
  </r>
  <r>
    <x v="2"/>
    <x v="1"/>
    <n v="2"/>
    <x v="2"/>
    <n v="1300"/>
    <n v="800"/>
    <n v="37"/>
    <n v="21"/>
    <n v="0.56000000000000005"/>
    <n v="0.52"/>
    <n v="0.64"/>
    <n v="0.82"/>
    <n v="9"/>
    <n v="6"/>
    <n v="5"/>
    <n v="6"/>
    <n v="8"/>
    <n v="25"/>
  </r>
  <r>
    <x v="2"/>
    <x v="2"/>
    <n v="3"/>
    <x v="2"/>
    <n v="1450"/>
    <n v="1050"/>
    <n v="33"/>
    <n v="19"/>
    <n v="0.69"/>
    <n v="0.57999999999999996"/>
    <n v="0.7"/>
    <n v="0.63"/>
    <n v="7"/>
    <n v="8"/>
    <n v="8"/>
    <n v="5"/>
    <n v="9"/>
    <n v="25"/>
  </r>
  <r>
    <x v="2"/>
    <x v="3"/>
    <n v="4"/>
    <x v="2"/>
    <n v="1300"/>
    <n v="650"/>
    <n v="28"/>
    <n v="15"/>
    <n v="0.7"/>
    <n v="0.46"/>
    <n v="0.85"/>
    <n v="0.47"/>
    <n v="9"/>
    <n v="10"/>
    <n v="7"/>
    <n v="8"/>
    <n v="6"/>
    <n v="25"/>
  </r>
  <r>
    <x v="2"/>
    <x v="4"/>
    <n v="5"/>
    <x v="2"/>
    <n v="1350"/>
    <n v="900"/>
    <n v="27"/>
    <n v="41"/>
    <n v="0.81"/>
    <n v="0.4"/>
    <n v="0.87"/>
    <n v="0.93"/>
    <n v="7"/>
    <n v="9"/>
    <n v="5"/>
    <n v="8"/>
    <n v="10"/>
    <n v="25"/>
  </r>
  <r>
    <x v="2"/>
    <x v="5"/>
    <n v="6"/>
    <x v="2"/>
    <n v="1200"/>
    <n v="750"/>
    <n v="23"/>
    <n v="36"/>
    <n v="0.81"/>
    <n v="0.52"/>
    <n v="0.78"/>
    <n v="0.74"/>
    <n v="5"/>
    <n v="7"/>
    <n v="8"/>
    <n v="6"/>
    <n v="9"/>
    <n v="25"/>
  </r>
  <r>
    <x v="2"/>
    <x v="6"/>
    <n v="7"/>
    <x v="2"/>
    <n v="1250"/>
    <n v="1000"/>
    <n v="20"/>
    <n v="30"/>
    <n v="0.95"/>
    <n v="0.84"/>
    <n v="0.51"/>
    <n v="0.87"/>
    <n v="10"/>
    <n v="5"/>
    <n v="10"/>
    <n v="6"/>
    <n v="9"/>
    <n v="25"/>
  </r>
  <r>
    <x v="2"/>
    <x v="7"/>
    <n v="8"/>
    <x v="2"/>
    <n v="1050"/>
    <n v="600"/>
    <n v="17"/>
    <n v="30"/>
    <n v="0.65"/>
    <n v="0.71"/>
    <n v="0.98"/>
    <n v="0.42"/>
    <n v="9"/>
    <n v="10"/>
    <n v="7"/>
    <n v="10"/>
    <n v="5"/>
    <n v="25"/>
  </r>
  <r>
    <x v="2"/>
    <x v="8"/>
    <n v="9"/>
    <x v="2"/>
    <n v="1150"/>
    <n v="850"/>
    <n v="13"/>
    <n v="16"/>
    <n v="0.92"/>
    <n v="0.48"/>
    <n v="0.92"/>
    <n v="0.88"/>
    <n v="8"/>
    <n v="5"/>
    <n v="6"/>
    <n v="5"/>
    <n v="8"/>
    <n v="25"/>
  </r>
  <r>
    <x v="2"/>
    <x v="9"/>
    <n v="10"/>
    <x v="2"/>
    <n v="1000"/>
    <n v="700"/>
    <n v="8"/>
    <n v="15"/>
    <n v="0.42"/>
    <n v="0.87"/>
    <n v="0.88"/>
    <n v="0.6"/>
    <n v="9"/>
    <n v="9"/>
    <n v="7"/>
    <n v="7"/>
    <n v="7"/>
    <n v="25"/>
  </r>
  <r>
    <x v="2"/>
    <x v="10"/>
    <n v="11"/>
    <x v="2"/>
    <n v="1050"/>
    <n v="950"/>
    <n v="4"/>
    <n v="2"/>
    <n v="0.95"/>
    <n v="0.66"/>
    <n v="0.98"/>
    <n v="0.59"/>
    <n v="6"/>
    <n v="8"/>
    <n v="7"/>
    <n v="6"/>
    <n v="5"/>
    <n v="25"/>
  </r>
  <r>
    <x v="2"/>
    <x v="11"/>
    <n v="12"/>
    <x v="2"/>
    <n v="900"/>
    <n v="800"/>
    <n v="2"/>
    <n v="2"/>
    <n v="0.53"/>
    <n v="0.59"/>
    <n v="0.91"/>
    <n v="0.82"/>
    <n v="9"/>
    <n v="5"/>
    <n v="9"/>
    <n v="9"/>
    <n v="9"/>
    <n v="25"/>
  </r>
  <r>
    <x v="0"/>
    <x v="0"/>
    <n v="1"/>
    <x v="3"/>
    <n v="900"/>
    <n v="800"/>
    <n v="78"/>
    <n v="2"/>
    <n v="0.83"/>
    <n v="0.65"/>
    <n v="0.66"/>
    <n v="0.71"/>
    <n v="6"/>
    <n v="7"/>
    <n v="5"/>
    <n v="8"/>
    <n v="10"/>
    <n v="55"/>
  </r>
  <r>
    <x v="0"/>
    <x v="1"/>
    <n v="2"/>
    <x v="3"/>
    <n v="700"/>
    <n v="950"/>
    <n v="71"/>
    <n v="5"/>
    <n v="0.6"/>
    <n v="0.45"/>
    <n v="0.72"/>
    <n v="0.77"/>
    <n v="5"/>
    <n v="9"/>
    <n v="9"/>
    <n v="5"/>
    <n v="6"/>
    <n v="55"/>
  </r>
  <r>
    <x v="0"/>
    <x v="2"/>
    <n v="3"/>
    <x v="3"/>
    <n v="800"/>
    <n v="700"/>
    <n v="65"/>
    <n v="10"/>
    <n v="0.75"/>
    <n v="0.83"/>
    <n v="0.46"/>
    <n v="0.51"/>
    <n v="6"/>
    <n v="8"/>
    <n v="6"/>
    <n v="5"/>
    <n v="7"/>
    <n v="55"/>
  </r>
  <r>
    <x v="0"/>
    <x v="3"/>
    <n v="4"/>
    <x v="3"/>
    <n v="900"/>
    <n v="850"/>
    <n v="58"/>
    <n v="17"/>
    <n v="0.97"/>
    <n v="1"/>
    <n v="0.52"/>
    <n v="0.49"/>
    <n v="5"/>
    <n v="5"/>
    <n v="6"/>
    <n v="5"/>
    <n v="8"/>
    <n v="55"/>
  </r>
  <r>
    <x v="0"/>
    <x v="4"/>
    <n v="5"/>
    <x v="3"/>
    <n v="1050"/>
    <n v="600"/>
    <n v="50"/>
    <n v="25"/>
    <n v="0.83"/>
    <n v="0.62"/>
    <n v="0.48"/>
    <n v="0.42"/>
    <n v="6"/>
    <n v="8"/>
    <n v="7"/>
    <n v="8"/>
    <n v="10"/>
    <n v="55"/>
  </r>
  <r>
    <x v="0"/>
    <x v="5"/>
    <n v="6"/>
    <x v="3"/>
    <n v="1100"/>
    <n v="900"/>
    <n v="30"/>
    <n v="70"/>
    <n v="0.54"/>
    <n v="0.59"/>
    <n v="0.89"/>
    <n v="0.64"/>
    <n v="9"/>
    <n v="6"/>
    <n v="8"/>
    <n v="10"/>
    <n v="8"/>
    <n v="55"/>
  </r>
  <r>
    <x v="0"/>
    <x v="6"/>
    <n v="7"/>
    <x v="3"/>
    <n v="1000"/>
    <n v="750"/>
    <n v="20"/>
    <n v="65"/>
    <n v="0.95"/>
    <n v="0.55000000000000004"/>
    <n v="0.61"/>
    <n v="0.99"/>
    <n v="7"/>
    <n v="5"/>
    <n v="5"/>
    <n v="8"/>
    <n v="7"/>
    <n v="55"/>
  </r>
  <r>
    <x v="0"/>
    <x v="7"/>
    <n v="8"/>
    <x v="3"/>
    <n v="1300"/>
    <n v="1000"/>
    <n v="15"/>
    <n v="60"/>
    <n v="0.92"/>
    <n v="0.51"/>
    <n v="0.77"/>
    <n v="0.86"/>
    <n v="10"/>
    <n v="6"/>
    <n v="9"/>
    <n v="9"/>
    <n v="10"/>
    <n v="55"/>
  </r>
  <r>
    <x v="0"/>
    <x v="8"/>
    <n v="9"/>
    <x v="3"/>
    <n v="1400"/>
    <n v="700"/>
    <n v="8"/>
    <n v="55"/>
    <n v="0.53"/>
    <n v="0.9"/>
    <n v="0.89"/>
    <n v="0.56999999999999995"/>
    <n v="6"/>
    <n v="10"/>
    <n v="5"/>
    <n v="8"/>
    <n v="10"/>
    <n v="55"/>
  </r>
  <r>
    <x v="0"/>
    <x v="9"/>
    <n v="10"/>
    <x v="3"/>
    <n v="1200"/>
    <n v="850"/>
    <n v="5"/>
    <n v="50"/>
    <n v="0.41"/>
    <n v="0.99"/>
    <n v="0.47"/>
    <n v="0.81"/>
    <n v="7"/>
    <n v="10"/>
    <n v="7"/>
    <n v="5"/>
    <n v="9"/>
    <n v="55"/>
  </r>
  <r>
    <x v="0"/>
    <x v="10"/>
    <n v="11"/>
    <x v="3"/>
    <n v="1300"/>
    <n v="700"/>
    <n v="0"/>
    <n v="38"/>
    <n v="0.91"/>
    <n v="0.66"/>
    <n v="0.43"/>
    <n v="0.54"/>
    <n v="5"/>
    <n v="5"/>
    <n v="5"/>
    <n v="9"/>
    <n v="7"/>
    <n v="55"/>
  </r>
  <r>
    <x v="0"/>
    <x v="11"/>
    <n v="12"/>
    <x v="3"/>
    <n v="1000"/>
    <n v="950"/>
    <n v="0"/>
    <n v="5"/>
    <n v="0.77"/>
    <n v="0.93"/>
    <n v="0.92"/>
    <n v="0.61"/>
    <n v="7"/>
    <n v="5"/>
    <n v="6"/>
    <n v="9"/>
    <n v="10"/>
    <n v="55"/>
  </r>
  <r>
    <x v="1"/>
    <x v="0"/>
    <n v="1"/>
    <x v="3"/>
    <n v="800"/>
    <n v="1100"/>
    <n v="73"/>
    <n v="7"/>
    <n v="0.74"/>
    <n v="0.82"/>
    <n v="0.75"/>
    <n v="0.88"/>
    <n v="10"/>
    <n v="10"/>
    <n v="9"/>
    <n v="9"/>
    <n v="6"/>
    <n v="45"/>
  </r>
  <r>
    <x v="1"/>
    <x v="1"/>
    <n v="2"/>
    <x v="3"/>
    <n v="700"/>
    <n v="900"/>
    <n v="68"/>
    <n v="8"/>
    <n v="0.42"/>
    <n v="0.92"/>
    <n v="0.86"/>
    <n v="0.85"/>
    <n v="8"/>
    <n v="6"/>
    <n v="6"/>
    <n v="9"/>
    <n v="6"/>
    <n v="45"/>
  </r>
  <r>
    <x v="1"/>
    <x v="2"/>
    <n v="3"/>
    <x v="3"/>
    <n v="900"/>
    <n v="700"/>
    <n v="60"/>
    <n v="10"/>
    <n v="1"/>
    <n v="0.88"/>
    <n v="0.75"/>
    <n v="0.49"/>
    <n v="6"/>
    <n v="9"/>
    <n v="9"/>
    <n v="5"/>
    <n v="6"/>
    <n v="45"/>
  </r>
  <r>
    <x v="1"/>
    <x v="3"/>
    <n v="4"/>
    <x v="3"/>
    <n v="1100"/>
    <n v="500"/>
    <n v="50"/>
    <n v="25"/>
    <n v="0.71"/>
    <n v="0.69"/>
    <n v="0.91"/>
    <n v="0.7"/>
    <n v="8"/>
    <n v="5"/>
    <n v="8"/>
    <n v="6"/>
    <n v="8"/>
    <n v="45"/>
  </r>
  <r>
    <x v="1"/>
    <x v="4"/>
    <n v="5"/>
    <x v="3"/>
    <n v="1050"/>
    <n v="800"/>
    <n v="45"/>
    <n v="27"/>
    <n v="0.47"/>
    <n v="0.85"/>
    <n v="0.59"/>
    <n v="0.9"/>
    <n v="9"/>
    <n v="9"/>
    <n v="9"/>
    <n v="10"/>
    <n v="6"/>
    <n v="45"/>
  </r>
  <r>
    <x v="1"/>
    <x v="5"/>
    <n v="6"/>
    <x v="3"/>
    <n v="1300"/>
    <n v="600"/>
    <n v="38"/>
    <n v="33"/>
    <n v="0.49"/>
    <n v="0.49"/>
    <n v="0.93"/>
    <n v="0.89"/>
    <n v="5"/>
    <n v="6"/>
    <n v="6"/>
    <n v="7"/>
    <n v="7"/>
    <n v="45"/>
  </r>
  <r>
    <x v="1"/>
    <x v="6"/>
    <n v="7"/>
    <x v="3"/>
    <n v="1400"/>
    <n v="1000"/>
    <n v="30"/>
    <n v="41"/>
    <n v="0.79"/>
    <n v="0.57999999999999996"/>
    <n v="0.88"/>
    <n v="0.76"/>
    <n v="9"/>
    <n v="8"/>
    <n v="6"/>
    <n v="5"/>
    <n v="10"/>
    <n v="45"/>
  </r>
  <r>
    <x v="1"/>
    <x v="7"/>
    <n v="8"/>
    <x v="3"/>
    <n v="1200"/>
    <n v="1300"/>
    <n v="25"/>
    <n v="55"/>
    <n v="0.84"/>
    <n v="0.63"/>
    <n v="0.54"/>
    <n v="0.56000000000000005"/>
    <n v="5"/>
    <n v="8"/>
    <n v="7"/>
    <n v="5"/>
    <n v="6"/>
    <n v="45"/>
  </r>
  <r>
    <x v="1"/>
    <x v="8"/>
    <n v="9"/>
    <x v="3"/>
    <n v="1000"/>
    <n v="800"/>
    <n v="20"/>
    <n v="55"/>
    <n v="0.68"/>
    <n v="0.7"/>
    <n v="0.62"/>
    <n v="0.65"/>
    <n v="6"/>
    <n v="9"/>
    <n v="10"/>
    <n v="7"/>
    <n v="5"/>
    <n v="45"/>
  </r>
  <r>
    <x v="1"/>
    <x v="9"/>
    <n v="10"/>
    <x v="3"/>
    <n v="1300"/>
    <n v="1000"/>
    <n v="17"/>
    <n v="58"/>
    <n v="0.42"/>
    <n v="0.67"/>
    <n v="0.77"/>
    <n v="0.97"/>
    <n v="10"/>
    <n v="5"/>
    <n v="7"/>
    <n v="10"/>
    <n v="6"/>
    <n v="45"/>
  </r>
  <r>
    <x v="1"/>
    <x v="10"/>
    <n v="11"/>
    <x v="3"/>
    <n v="1250"/>
    <n v="900"/>
    <n v="13"/>
    <n v="60"/>
    <n v="0.42"/>
    <n v="0.59"/>
    <n v="0.89"/>
    <n v="0.43"/>
    <n v="10"/>
    <n v="5"/>
    <n v="10"/>
    <n v="5"/>
    <n v="5"/>
    <n v="45"/>
  </r>
  <r>
    <x v="1"/>
    <x v="11"/>
    <n v="12"/>
    <x v="3"/>
    <n v="1000"/>
    <n v="1100"/>
    <n v="5"/>
    <n v="65"/>
    <n v="0.56999999999999995"/>
    <n v="0.95"/>
    <n v="0.48"/>
    <n v="0.65"/>
    <n v="10"/>
    <n v="8"/>
    <n v="8"/>
    <n v="8"/>
    <n v="10"/>
    <n v="45"/>
  </r>
  <r>
    <x v="2"/>
    <x v="0"/>
    <n v="1"/>
    <x v="3"/>
    <n v="900"/>
    <n v="800"/>
    <n v="68"/>
    <n v="0"/>
    <n v="0.77"/>
    <n v="0.86"/>
    <n v="0.99"/>
    <n v="0.52"/>
    <n v="8"/>
    <n v="7"/>
    <n v="9"/>
    <n v="10"/>
    <n v="5"/>
    <n v="25"/>
  </r>
  <r>
    <x v="2"/>
    <x v="1"/>
    <n v="2"/>
    <x v="3"/>
    <n v="1050"/>
    <n v="950"/>
    <n v="22"/>
    <n v="15"/>
    <n v="0.98"/>
    <n v="0.83"/>
    <n v="1"/>
    <n v="0.68"/>
    <n v="9"/>
    <n v="6"/>
    <n v="5"/>
    <n v="6"/>
    <n v="9"/>
    <n v="25"/>
  </r>
  <r>
    <x v="2"/>
    <x v="2"/>
    <n v="3"/>
    <x v="3"/>
    <n v="1000"/>
    <n v="700"/>
    <n v="18"/>
    <n v="27"/>
    <n v="0.78"/>
    <n v="0.43"/>
    <n v="0.61"/>
    <n v="0.48"/>
    <n v="9"/>
    <n v="5"/>
    <n v="9"/>
    <n v="8"/>
    <n v="10"/>
    <n v="25"/>
  </r>
  <r>
    <x v="2"/>
    <x v="3"/>
    <n v="4"/>
    <x v="3"/>
    <n v="1150"/>
    <n v="850"/>
    <n v="16"/>
    <n v="8"/>
    <n v="0.41"/>
    <n v="0.6"/>
    <n v="0.66"/>
    <n v="0.49"/>
    <n v="10"/>
    <n v="9"/>
    <n v="8"/>
    <n v="9"/>
    <n v="10"/>
    <n v="25"/>
  </r>
  <r>
    <x v="2"/>
    <x v="4"/>
    <n v="5"/>
    <x v="3"/>
    <n v="1050"/>
    <n v="600"/>
    <n v="16"/>
    <n v="18"/>
    <n v="0.54"/>
    <n v="0.85"/>
    <n v="0.84"/>
    <n v="0.43"/>
    <n v="9"/>
    <n v="9"/>
    <n v="8"/>
    <n v="5"/>
    <n v="6"/>
    <n v="25"/>
  </r>
  <r>
    <x v="2"/>
    <x v="5"/>
    <n v="6"/>
    <x v="3"/>
    <n v="1250"/>
    <n v="1000"/>
    <n v="15"/>
    <n v="13"/>
    <n v="0.93"/>
    <n v="0.5"/>
    <n v="0.56000000000000005"/>
    <n v="0.4"/>
    <n v="10"/>
    <n v="7"/>
    <n v="8"/>
    <n v="10"/>
    <n v="7"/>
    <n v="25"/>
  </r>
  <r>
    <x v="2"/>
    <x v="6"/>
    <n v="7"/>
    <x v="3"/>
    <n v="1200"/>
    <n v="750"/>
    <n v="14"/>
    <n v="20"/>
    <n v="0.78"/>
    <n v="0.66"/>
    <n v="0.62"/>
    <n v="0.57999999999999996"/>
    <n v="10"/>
    <n v="6"/>
    <n v="10"/>
    <n v="5"/>
    <n v="8"/>
    <n v="25"/>
  </r>
  <r>
    <x v="2"/>
    <x v="7"/>
    <n v="8"/>
    <x v="3"/>
    <n v="1350"/>
    <n v="900"/>
    <n v="12"/>
    <n v="20"/>
    <n v="0.53"/>
    <n v="0.75"/>
    <n v="0.9"/>
    <n v="0.59"/>
    <n v="10"/>
    <n v="5"/>
    <n v="10"/>
    <n v="6"/>
    <n v="9"/>
    <n v="25"/>
  </r>
  <r>
    <x v="2"/>
    <x v="8"/>
    <n v="9"/>
    <x v="3"/>
    <n v="1300"/>
    <n v="650"/>
    <n v="9"/>
    <n v="18"/>
    <n v="0.92"/>
    <n v="0.52"/>
    <n v="0.83"/>
    <n v="0.72"/>
    <n v="10"/>
    <n v="10"/>
    <n v="8"/>
    <n v="10"/>
    <n v="8"/>
    <n v="25"/>
  </r>
  <r>
    <x v="2"/>
    <x v="9"/>
    <n v="10"/>
    <x v="3"/>
    <n v="1450"/>
    <n v="1050"/>
    <n v="7"/>
    <n v="25"/>
    <n v="0.99"/>
    <n v="0.56999999999999995"/>
    <n v="0.47"/>
    <n v="0.43"/>
    <n v="6"/>
    <n v="8"/>
    <n v="9"/>
    <n v="6"/>
    <n v="7"/>
    <n v="25"/>
  </r>
  <r>
    <x v="2"/>
    <x v="10"/>
    <n v="11"/>
    <x v="3"/>
    <n v="1300"/>
    <n v="800"/>
    <n v="3"/>
    <n v="23"/>
    <n v="0.43"/>
    <n v="0.48"/>
    <n v="0.8"/>
    <n v="0.6"/>
    <n v="8"/>
    <n v="5"/>
    <n v="10"/>
    <n v="5"/>
    <n v="9"/>
    <n v="25"/>
  </r>
  <r>
    <x v="2"/>
    <x v="11"/>
    <n v="12"/>
    <x v="3"/>
    <n v="1350"/>
    <n v="950"/>
    <n v="0"/>
    <n v="13"/>
    <n v="0.48"/>
    <n v="0.93"/>
    <n v="0.75"/>
    <n v="0.61"/>
    <n v="9"/>
    <n v="10"/>
    <n v="5"/>
    <n v="7"/>
    <n v="8"/>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1B441-DE83-49EC-93E6-7DF51866838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48" firstHeaderRow="0" firstDataRow="1" firstDataCol="1"/>
  <pivotFields count="18">
    <pivotField showAll="0">
      <items count="4">
        <item x="0"/>
        <item h="1" x="1"/>
        <item h="1" x="2"/>
        <item t="default"/>
      </items>
    </pivotField>
    <pivotField showAll="0">
      <items count="13">
        <item h="1" x="0"/>
        <item h="1" x="1"/>
        <item h="1" x="2"/>
        <item x="3"/>
        <item h="1" x="4"/>
        <item h="1" x="5"/>
        <item h="1" x="6"/>
        <item h="1" x="7"/>
        <item h="1" x="8"/>
        <item h="1" x="9"/>
        <item h="1" x="10"/>
        <item h="1" x="11"/>
        <item t="default"/>
      </items>
    </pivotField>
    <pivotField showAll="0"/>
    <pivotField axis="axisRow" showAll="0">
      <items count="5">
        <item x="0"/>
        <item x="1"/>
        <item x="2"/>
        <item x="3"/>
        <item t="default"/>
      </items>
    </pivotField>
    <pivotField showAll="0"/>
    <pivotField showAll="0"/>
    <pivotField showAll="0"/>
    <pivotField dataField="1" showAll="0"/>
    <pivotField numFmtId="9" showAll="0"/>
    <pivotField numFmtId="9" showAll="0"/>
    <pivotField numFmtId="9" showAll="0"/>
    <pivotField numFmtId="9" showAll="0"/>
    <pivotField showAll="0"/>
    <pivotField showAll="0"/>
    <pivotField showAll="0"/>
    <pivotField showAll="0"/>
    <pivotField showAll="0"/>
    <pivotField dataField="1" showAll="0"/>
  </pivotFields>
  <rowFields count="1">
    <field x="3"/>
  </rowFields>
  <rowItems count="5">
    <i>
      <x/>
    </i>
    <i>
      <x v="1"/>
    </i>
    <i>
      <x v="2"/>
    </i>
    <i>
      <x v="3"/>
    </i>
    <i t="grand">
      <x/>
    </i>
  </rowItems>
  <colFields count="1">
    <field x="-2"/>
  </colFields>
  <colItems count="2">
    <i>
      <x/>
    </i>
    <i i="1">
      <x v="1"/>
    </i>
  </colItems>
  <dataFields count="2">
    <dataField name="Sum of Completed" fld="7" baseField="0" baseItem="0"/>
    <dataField name="Sum of Pla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09ECC5-B412-40BB-8DC0-FB54E54900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38" firstHeaderRow="0" firstDataRow="1" firstDataCol="1"/>
  <pivotFields count="18">
    <pivotField showAll="0">
      <items count="4">
        <item x="0"/>
        <item h="1" x="1"/>
        <item h="1" x="2"/>
        <item t="default"/>
      </items>
    </pivotField>
    <pivotField showAll="0">
      <items count="13">
        <item h="1" x="0"/>
        <item h="1" x="1"/>
        <item h="1" x="2"/>
        <item x="3"/>
        <item h="1" x="4"/>
        <item h="1" x="5"/>
        <item h="1" x="6"/>
        <item h="1" x="7"/>
        <item h="1" x="8"/>
        <item h="1" x="9"/>
        <item h="1" x="10"/>
        <item h="1" x="11"/>
        <item t="default"/>
      </items>
    </pivotField>
    <pivotField showAll="0"/>
    <pivotField axis="axisRow" showAll="0">
      <items count="5">
        <item x="0"/>
        <item h="1" x="1"/>
        <item h="1" x="2"/>
        <item h="1" x="3"/>
        <item t="default"/>
      </items>
    </pivotField>
    <pivotField showAll="0"/>
    <pivotField showAll="0"/>
    <pivotField showAll="0"/>
    <pivotField dataField="1" showAll="0"/>
    <pivotField numFmtId="9" showAll="0"/>
    <pivotField numFmtId="9" showAll="0"/>
    <pivotField numFmtId="9" showAll="0"/>
    <pivotField numFmtId="9" showAll="0"/>
    <pivotField showAll="0"/>
    <pivotField showAll="0"/>
    <pivotField showAll="0"/>
    <pivotField showAll="0"/>
    <pivotField showAll="0"/>
    <pivotField dataField="1" showAll="0"/>
  </pivotFields>
  <rowFields count="1">
    <field x="3"/>
  </rowFields>
  <rowItems count="2">
    <i>
      <x/>
    </i>
    <i t="grand">
      <x/>
    </i>
  </rowItems>
  <colFields count="1">
    <field x="-2"/>
  </colFields>
  <colItems count="2">
    <i>
      <x/>
    </i>
    <i i="1">
      <x v="1"/>
    </i>
  </colItems>
  <dataFields count="2">
    <dataField name="Sum of Completed" fld="7" baseField="0" baseItem="0"/>
    <dataField name="Sum of Pla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21A82-5AEC-458B-B90E-8C023C4554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pivotFields count="18">
    <pivotField showAll="0">
      <items count="4">
        <item x="0"/>
        <item h="1" x="1"/>
        <item h="1" x="2"/>
        <item t="default"/>
      </items>
    </pivotField>
    <pivotField axis="axisRow" showAll="0">
      <items count="13">
        <item x="0"/>
        <item x="1"/>
        <item x="2"/>
        <item x="3"/>
        <item x="4"/>
        <item x="5"/>
        <item x="6"/>
        <item x="7"/>
        <item x="8"/>
        <item x="9"/>
        <item x="10"/>
        <item x="11"/>
        <item t="default"/>
      </items>
    </pivotField>
    <pivotField showAll="0"/>
    <pivotField showAll="0">
      <items count="5">
        <item x="0"/>
        <item h="1" x="1"/>
        <item h="1" x="2"/>
        <item h="1" x="3"/>
        <item t="default"/>
      </items>
    </pivotField>
    <pivotField dataField="1" showAll="0"/>
    <pivotField dataField="1" showAll="0"/>
    <pivotField dataField="1" showAll="0"/>
    <pivotField dataField="1" showAll="0"/>
    <pivotField numFmtId="9" showAll="0"/>
    <pivotField numFmtId="9" showAll="0"/>
    <pivotField numFmtId="9" showAll="0"/>
    <pivotField numFmtId="9"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Budget" fld="4" baseField="0" baseItem="0"/>
    <dataField name="Sum of Expenses" fld="5" baseField="0" baseItem="0"/>
    <dataField name="Sum of Added" fld="6" baseField="0" baseItem="0"/>
    <dataField name="Sum of Complet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151BF8-17E7-4D57-BDDE-13FC7C3097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P5" firstHeaderRow="0" firstDataRow="1" firstDataCol="1"/>
  <pivotFields count="18">
    <pivotField showAll="0">
      <items count="4">
        <item x="0"/>
        <item h="1" x="1"/>
        <item h="1" x="2"/>
        <item t="default"/>
      </items>
    </pivotField>
    <pivotField axis="axisRow" showAll="0">
      <items count="13">
        <item h="1" x="0"/>
        <item h="1" x="1"/>
        <item h="1" x="2"/>
        <item x="3"/>
        <item h="1" x="4"/>
        <item h="1" x="5"/>
        <item h="1" x="6"/>
        <item h="1" x="7"/>
        <item h="1" x="8"/>
        <item h="1" x="9"/>
        <item h="1" x="10"/>
        <item h="1" x="11"/>
        <item t="default"/>
      </items>
    </pivotField>
    <pivotField dataField="1" showAll="0"/>
    <pivotField showAll="0">
      <items count="5">
        <item x="0"/>
        <item h="1" x="1"/>
        <item h="1" x="2"/>
        <item h="1" x="3"/>
        <item t="default"/>
      </items>
    </pivotField>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showAll="0"/>
    <pivotField dataField="1" showAll="0"/>
    <pivotField dataField="1" showAll="0"/>
    <pivotField dataField="1" showAll="0"/>
    <pivotField dataField="1" showAll="0"/>
    <pivotField dataField="1" showAll="0"/>
  </pivotFields>
  <rowFields count="1">
    <field x="1"/>
  </rowFields>
  <rowItems count="2">
    <i>
      <x v="3"/>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Budget" fld="4" baseField="0" baseItem="0"/>
    <dataField name="Sum of Expenses" fld="5" baseField="0" baseItem="0"/>
    <dataField name="Sum of Added" fld="6" baseField="0" baseItem="0"/>
    <dataField name="Sum of Completed" fld="7" baseField="0" baseItem="0"/>
    <dataField name="Average of Commitment Reliability" fld="8" subtotal="average" baseField="1" baseItem="0" numFmtId="9"/>
    <dataField name="Average of Defect-Free Delivery Rate" fld="9" subtotal="average" baseField="1" baseItem="0" numFmtId="9"/>
    <dataField name="Average of On-Time Delivery Rate" fld="10" subtotal="average" baseField="1" baseItem="0" numFmtId="9"/>
    <dataField name="Average of Flow Efficiency" fld="11" subtotal="average" baseField="1" baseItem="0" numFmtId="9"/>
    <dataField name="Average of Engagement" fld="12" subtotal="average" baseField="1" baseItem="0"/>
    <dataField name="Average of Workload" fld="13" subtotal="average" baseField="1" baseItem="0"/>
    <dataField name="Average of Autonomy" fld="14" subtotal="average" baseField="1" baseItem="0"/>
    <dataField name="Max of Collaboration" fld="15" subtotal="max" baseField="1" baseItem="0"/>
    <dataField name="Average of Flow State" fld="16" subtotal="average" baseField="1" baseItem="0"/>
    <dataField name="Sum of Plan" fld="17" baseField="0" baseItem="0"/>
    <dataField name="Max of Number" fld="2"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D19011-5B43-42FF-8ADB-50720EDC1163}" sourceName="Year">
  <pivotTables>
    <pivotTable tabId="3" name="PivotTable1"/>
    <pivotTable tabId="3" name="PivotTable2"/>
    <pivotTable tabId="3" name="PivotTable3"/>
    <pivotTable tabId="3" name="PivotTable4"/>
  </pivotTables>
  <data>
    <tabular pivotCacheId="96975722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10F3B8-ECD2-432D-A571-BC413506E833}" sourceName="Month">
  <pivotTables>
    <pivotTable tabId="3" name="PivotTable1"/>
    <pivotTable tabId="3" name="PivotTable3"/>
    <pivotTable tabId="3" name="PivotTable4"/>
  </pivotTables>
  <data>
    <tabular pivotCacheId="969757224">
      <items count="12">
        <i x="0"/>
        <i x="1"/>
        <i x="2"/>
        <i x="3" s="1"/>
        <i x="4"/>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s" xr10:uid="{25F9BD16-026D-4439-80E1-1BCAE40CA4F8}" sourceName="Managers">
  <pivotTables>
    <pivotTable tabId="3" name="PivotTable1"/>
    <pivotTable tabId="3" name="PivotTable2"/>
    <pivotTable tabId="3" name="PivotTable3"/>
  </pivotTables>
  <data>
    <tabular pivotCacheId="969757224">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01B33BC-4958-4B9F-BC99-C590B7363B1B}" cache="Slicer_Year" caption="Year" columnCount="3" showCaption="0" style="SlicerStyleLight1 2" rowHeight="247650"/>
  <slicer name="Month" xr10:uid="{644C16C8-0F01-4D47-AC7C-EDC48C2BC52F}" cache="Slicer_Month" caption="Month" columnCount="12" showCaption="0" style="SlicerStyleLight1 2 2" rowHeight="182880"/>
  <slicer name="Month 1" xr10:uid="{E6B54B9F-8B00-4C34-B2B9-A0C43AFEB1C0}" cache="Slicer_Month" caption="Month" columnCount="12" showCaption="0" style="SlicerStyleLight1 2 2" rowHeight="182880"/>
  <slicer name="Managers" xr10:uid="{3F5DE5CE-FF47-4753-8FA3-8F29D3829E02}" cache="Slicer_Managers" caption="Managers" columnCount="4" showCaption="0" style="SlicerStyleLight1 2 2" rowHeight="20116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398B2FE-4E33-4C8B-899C-16B1263B27C5}" cache="Slicer_Year" caption="Year" columnCount="3" showCaption="0" style="SlicerStyleLight1 2 3" rowHeight="247650"/>
  <slicer name="Month 2" xr10:uid="{A3C70099-F025-4F6C-BB09-DDA3C23B2CF9}" cache="Slicer_Month" caption="Month" columnCount="12" showCaption="0" style="SlicerStyleLight1 2 2 2" rowHeight="182880"/>
  <slicer name="Month 3" xr10:uid="{E40BFE9A-0B9C-45BF-A2AA-F4AF3657707D}" cache="Slicer_Month" caption="Month" columnCount="12" showCaption="0" style="SlicerStyleLight1 2 2 2" rowHeight="182880"/>
  <slicer name="Managers 1" xr10:uid="{BAA0FFFA-655E-4523-8C38-9D53F9AB74E9}" cache="Slicer_Managers" caption="Managers" columnCount="4" showCaption="0" style="SlicerStyleLight1 2 2 2" rowHeight="20116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7DBD9F-1C8B-4860-9AF6-A07A5DB81903}" name="mydata" displayName="mydata" ref="A1:R145" totalsRowShown="0" headerRowDxfId="19" dataDxfId="18">
  <autoFilter ref="A1:R145" xr:uid="{E37DBD9F-1C8B-4860-9AF6-A07A5DB81903}"/>
  <tableColumns count="18">
    <tableColumn id="1" xr3:uid="{A2F216FA-6235-452E-BFE2-AE2B7B5FE712}" name="Year" dataDxfId="17"/>
    <tableColumn id="2" xr3:uid="{2E763609-8FB2-4F86-A8AA-4C3B7DCE3823}" name="Month" dataDxfId="16"/>
    <tableColumn id="18" xr3:uid="{C926667F-BC0B-43E6-862A-90DEBB1429E1}" name="Number" dataDxfId="15"/>
    <tableColumn id="3" xr3:uid="{4179AD3A-C55E-4D04-8C49-E4C13F2AC225}" name="Managers" dataDxfId="14"/>
    <tableColumn id="4" xr3:uid="{9A2909BB-0E2F-4C62-87A2-FB1718188D1E}" name="Budget" dataDxfId="13"/>
    <tableColumn id="5" xr3:uid="{95E4F4EF-CAEC-4476-8159-EDF8A4BDEDF4}" name="Expenses" dataDxfId="12"/>
    <tableColumn id="6" xr3:uid="{244121DA-3C62-40F7-86F3-560F65550ED3}" name="Added" dataDxfId="11"/>
    <tableColumn id="7" xr3:uid="{5A420005-16FD-4148-B066-1272806A3263}" name="Completed" dataDxfId="10"/>
    <tableColumn id="8" xr3:uid="{CFD73B28-FBED-4757-B0AF-100C7601416B}" name="Commitment Reliability" dataDxfId="9" dataCellStyle="Percent"/>
    <tableColumn id="9" xr3:uid="{0A1B4362-40D2-4FE7-8C12-F1CAAE214C08}" name="Defect-Free Delivery Rate" dataDxfId="8" dataCellStyle="Percent"/>
    <tableColumn id="10" xr3:uid="{DAB14959-7631-4439-81C4-1F6EB8F42A75}" name="On-Time Delivery Rate" dataDxfId="7" dataCellStyle="Percent"/>
    <tableColumn id="11" xr3:uid="{FF538E48-87EB-4F99-87EF-53952619209B}" name="Flow Efficiency" dataDxfId="6" dataCellStyle="Percent"/>
    <tableColumn id="12" xr3:uid="{DB44DE51-0652-467C-833D-38CE14BC9601}" name="Engagement" dataDxfId="5"/>
    <tableColumn id="13" xr3:uid="{CE985F8C-3804-446F-B650-ADC7644E3977}" name="Workload" dataDxfId="4"/>
    <tableColumn id="14" xr3:uid="{D78C1957-38F9-49B8-A76C-326CF9F16D91}" name="Autonomy" dataDxfId="3"/>
    <tableColumn id="15" xr3:uid="{1251C345-03D8-4F6E-8C50-2E819E17CF9C}" name="Collaboration" dataDxfId="2"/>
    <tableColumn id="16" xr3:uid="{671AF713-9771-4A63-A4A0-F50ECAA966E8}" name="Flow State" dataDxfId="1"/>
    <tableColumn id="17" xr3:uid="{11FCDE89-CA7B-4189-B0DB-26B0B1D219D5}" name="Pla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A44:A46"/>
  <sheetViews>
    <sheetView showRowColHeaders="0" topLeftCell="A31" zoomScaleNormal="100" workbookViewId="0">
      <selection activeCell="B44" sqref="B44:J46"/>
    </sheetView>
  </sheetViews>
  <sheetFormatPr defaultColWidth="8.85546875" defaultRowHeight="15" x14ac:dyDescent="0.25"/>
  <cols>
    <col min="1" max="16384" width="8.85546875" style="5"/>
  </cols>
  <sheetData>
    <row r="44" ht="15" customHeight="1" x14ac:dyDescent="0.25"/>
    <row r="45" ht="15" customHeight="1" x14ac:dyDescent="0.25"/>
    <row r="46"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ABD7-27EA-46BB-8B30-74267C68EF61}">
  <dimension ref="A46:A48"/>
  <sheetViews>
    <sheetView showRowColHeaders="0" tabSelected="1" zoomScale="42" zoomScaleNormal="42" workbookViewId="0">
      <selection activeCell="B46" sqref="B46:J48"/>
    </sheetView>
  </sheetViews>
  <sheetFormatPr defaultColWidth="8.85546875" defaultRowHeight="15" x14ac:dyDescent="0.25"/>
  <cols>
    <col min="1" max="16384" width="8.85546875" style="18"/>
  </cols>
  <sheetData>
    <row r="46" ht="15" customHeight="1" x14ac:dyDescent="0.25"/>
    <row r="47" ht="15" customHeight="1" x14ac:dyDescent="0.25"/>
    <row r="48"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T28"/>
  <sheetViews>
    <sheetView zoomScaleNormal="100" workbookViewId="0">
      <selection activeCell="H20" sqref="H20:P22"/>
    </sheetView>
  </sheetViews>
  <sheetFormatPr defaultRowHeight="15" x14ac:dyDescent="0.25"/>
  <cols>
    <col min="1" max="1" width="18.140625" customWidth="1"/>
    <col min="5" max="5" width="9.7109375" bestFit="1" customWidth="1"/>
    <col min="7" max="7" width="12.7109375" customWidth="1"/>
    <col min="8" max="8" width="13.7109375" customWidth="1"/>
    <col min="11" max="11" width="9.7109375" bestFit="1" customWidth="1"/>
    <col min="12" max="12" width="10.42578125" customWidth="1"/>
    <col min="13" max="13" width="12.5703125" customWidth="1"/>
  </cols>
  <sheetData>
    <row r="1" spans="1:20" x14ac:dyDescent="0.25">
      <c r="A1" s="11" t="s">
        <v>7</v>
      </c>
      <c r="B1" s="10" t="s">
        <v>20</v>
      </c>
      <c r="C1" s="10" t="s">
        <v>21</v>
      </c>
      <c r="D1" s="10" t="s">
        <v>22</v>
      </c>
      <c r="E1" s="10" t="s">
        <v>23</v>
      </c>
      <c r="G1" s="10" t="s">
        <v>24</v>
      </c>
      <c r="H1" s="10" t="s">
        <v>25</v>
      </c>
      <c r="I1" s="33" t="s">
        <v>58</v>
      </c>
      <c r="J1" s="33"/>
      <c r="K1" s="33"/>
      <c r="M1" s="10" t="s">
        <v>45</v>
      </c>
      <c r="N1" s="10" t="s">
        <v>44</v>
      </c>
    </row>
    <row r="2" spans="1:20" x14ac:dyDescent="0.25">
      <c r="A2" s="2" t="s">
        <v>8</v>
      </c>
      <c r="B2" s="2">
        <f>GETPIVOTDATA(""&amp;B$1,Control!$A$20,"Month",""&amp;$A2)</f>
        <v>500</v>
      </c>
      <c r="C2" s="2">
        <f>GETPIVOTDATA(""&amp;C$1,Control!$A$20,"Month",""&amp;$A2)</f>
        <v>400</v>
      </c>
      <c r="D2" s="2">
        <f>IF(ISNA(E2),0,MIN(B2-C2,0))</f>
        <v>0</v>
      </c>
      <c r="E2" s="2" t="e">
        <f>IFERROR(GETPIVOTDATA(""&amp;C$1,Control!$A$3,"Month",""&amp;$A2),NA())</f>
        <v>#N/A</v>
      </c>
      <c r="G2" s="6">
        <f>GETPIVOTDATA("Sum of Budget",Control!$A$20)-SUM(C2:INDEX(C2:C13,GETPIVOTDATA("Max of Number",Control!$A$3)))</f>
        <v>6400</v>
      </c>
      <c r="H2" s="7">
        <f>I12/J8</f>
        <v>0.66666666666666663</v>
      </c>
      <c r="I2" s="8">
        <f>IF(H2&lt;100%,0,H2-1)</f>
        <v>0</v>
      </c>
      <c r="J2" s="8">
        <f>IF(H2&lt;100%,H2,1-I2)</f>
        <v>0.66666666666666663</v>
      </c>
      <c r="K2" s="7">
        <f>1-SUM(I2:J2)</f>
        <v>0.33333333333333337</v>
      </c>
      <c r="M2" s="9" t="s">
        <v>39</v>
      </c>
      <c r="N2" s="17">
        <f>GETPIVOTDATA(""&amp;M2,Control!$A$3)</f>
        <v>7</v>
      </c>
      <c r="P2" s="2">
        <v>1</v>
      </c>
      <c r="Q2" s="2">
        <v>1</v>
      </c>
      <c r="R2" s="2">
        <v>1</v>
      </c>
      <c r="S2" s="2">
        <v>1</v>
      </c>
      <c r="T2" s="2">
        <v>1</v>
      </c>
    </row>
    <row r="3" spans="1:20" x14ac:dyDescent="0.25">
      <c r="A3" s="2" t="s">
        <v>9</v>
      </c>
      <c r="B3" s="2">
        <f>GETPIVOTDATA(""&amp;B$1,Control!$A$20,"Month",""&amp;$A3)</f>
        <v>400</v>
      </c>
      <c r="C3" s="2">
        <f>GETPIVOTDATA(""&amp;C$1,Control!$A$20,"Month",""&amp;$A3)</f>
        <v>500</v>
      </c>
      <c r="D3" s="2">
        <f t="shared" ref="D3:D13" si="0">IF(ISNA(E3),0,MIN(B3-C3,0))</f>
        <v>0</v>
      </c>
      <c r="E3" s="2" t="e">
        <f>IFERROR(GETPIVOTDATA(""&amp;C$1,Control!$A$3,"Month",""&amp;$A3),NA())</f>
        <v>#N/A</v>
      </c>
      <c r="H3" s="7"/>
      <c r="I3" s="7"/>
      <c r="J3" s="7"/>
      <c r="M3" s="9" t="s">
        <v>40</v>
      </c>
      <c r="N3" s="17">
        <f>GETPIVOTDATA(""&amp;M3,Control!$A$3)</f>
        <v>9</v>
      </c>
      <c r="P3" s="2">
        <v>1</v>
      </c>
      <c r="Q3" s="2">
        <v>1</v>
      </c>
      <c r="R3" s="2">
        <v>1</v>
      </c>
      <c r="S3" s="2">
        <v>1</v>
      </c>
      <c r="T3" s="2">
        <v>1</v>
      </c>
    </row>
    <row r="4" spans="1:20" x14ac:dyDescent="0.25">
      <c r="A4" s="2" t="s">
        <v>10</v>
      </c>
      <c r="B4" s="2">
        <f>GETPIVOTDATA(""&amp;B$1,Control!$A$20,"Month",""&amp;$A4)</f>
        <v>500</v>
      </c>
      <c r="C4" s="2">
        <f>GETPIVOTDATA(""&amp;C$1,Control!$A$20,"Month",""&amp;$A4)</f>
        <v>350</v>
      </c>
      <c r="D4" s="2">
        <f t="shared" si="0"/>
        <v>0</v>
      </c>
      <c r="E4" s="2" t="e">
        <f>IFERROR(GETPIVOTDATA(""&amp;C$1,Control!$A$3,"Month",""&amp;$A4),NA())</f>
        <v>#N/A</v>
      </c>
      <c r="G4" s="11" t="s">
        <v>38</v>
      </c>
      <c r="H4" s="11"/>
      <c r="M4" s="9" t="s">
        <v>41</v>
      </c>
      <c r="N4" s="17">
        <f>GETPIVOTDATA(""&amp;M4,Control!$A$3)</f>
        <v>10</v>
      </c>
      <c r="P4" s="2">
        <v>1</v>
      </c>
      <c r="Q4" s="2">
        <v>1</v>
      </c>
      <c r="R4" s="2">
        <v>1</v>
      </c>
      <c r="S4" s="2">
        <v>1</v>
      </c>
      <c r="T4" s="2">
        <v>1</v>
      </c>
    </row>
    <row r="5" spans="1:20" x14ac:dyDescent="0.25">
      <c r="A5" s="2" t="s">
        <v>11</v>
      </c>
      <c r="B5" s="2">
        <f>GETPIVOTDATA(""&amp;B$1,Control!$A$20,"Month",""&amp;$A5)</f>
        <v>450</v>
      </c>
      <c r="C5" s="2">
        <f>GETPIVOTDATA(""&amp;C$1,Control!$A$20,"Month",""&amp;$A5)</f>
        <v>550</v>
      </c>
      <c r="D5" s="2">
        <f t="shared" si="0"/>
        <v>-100</v>
      </c>
      <c r="E5" s="2">
        <f>IFERROR(GETPIVOTDATA(""&amp;C$1,Control!$A$3,"Month",""&amp;$A5),NA())</f>
        <v>550</v>
      </c>
      <c r="G5" s="7">
        <f>AVERAGE(N2:N6)/10</f>
        <v>0.91999999999999993</v>
      </c>
      <c r="H5" s="7">
        <f>1-G5</f>
        <v>8.0000000000000071E-2</v>
      </c>
      <c r="M5" s="9" t="s">
        <v>42</v>
      </c>
      <c r="N5" s="17">
        <f>GETPIVOTDATA(""&amp;M5,Control!$A$3)</f>
        <v>10</v>
      </c>
    </row>
    <row r="6" spans="1:20" x14ac:dyDescent="0.25">
      <c r="A6" s="2" t="s">
        <v>12</v>
      </c>
      <c r="B6" s="2">
        <f>GETPIVOTDATA(""&amp;B$1,Control!$A$20,"Month",""&amp;$A6)</f>
        <v>700</v>
      </c>
      <c r="C6" s="2">
        <f>GETPIVOTDATA(""&amp;C$1,Control!$A$20,"Month",""&amp;$A6)</f>
        <v>600</v>
      </c>
      <c r="D6" s="2">
        <f t="shared" si="0"/>
        <v>0</v>
      </c>
      <c r="E6" s="2" t="e">
        <f>IFERROR(GETPIVOTDATA(""&amp;C$1,Control!$A$3,"Month",""&amp;$A6),NA())</f>
        <v>#N/A</v>
      </c>
      <c r="M6" s="9" t="s">
        <v>43</v>
      </c>
      <c r="N6" s="17">
        <f>GETPIVOTDATA(""&amp;M6,Control!$A$3)</f>
        <v>10</v>
      </c>
    </row>
    <row r="7" spans="1:20" x14ac:dyDescent="0.25">
      <c r="A7" s="2" t="s">
        <v>13</v>
      </c>
      <c r="B7" s="2">
        <f>GETPIVOTDATA(""&amp;B$1,Control!$A$20,"Month",""&amp;$A7)</f>
        <v>600</v>
      </c>
      <c r="C7" s="2">
        <f>GETPIVOTDATA(""&amp;C$1,Control!$A$20,"Month",""&amp;$A7)</f>
        <v>800</v>
      </c>
      <c r="D7" s="2">
        <f t="shared" si="0"/>
        <v>0</v>
      </c>
      <c r="E7" s="2" t="e">
        <f>IFERROR(GETPIVOTDATA(""&amp;C$1,Control!$A$3,"Month",""&amp;$A7),NA())</f>
        <v>#N/A</v>
      </c>
      <c r="G7" s="10" t="s">
        <v>26</v>
      </c>
      <c r="H7" s="10" t="s">
        <v>51</v>
      </c>
      <c r="I7" s="10" t="s">
        <v>23</v>
      </c>
      <c r="J7" s="10" t="s">
        <v>52</v>
      </c>
    </row>
    <row r="8" spans="1:20" x14ac:dyDescent="0.25">
      <c r="A8" s="2" t="s">
        <v>14</v>
      </c>
      <c r="B8" s="2">
        <f>GETPIVOTDATA(""&amp;B$1,Control!$A$20,"Month",""&amp;$A8)</f>
        <v>800</v>
      </c>
      <c r="C8" s="2">
        <f>GETPIVOTDATA(""&amp;C$1,Control!$A$20,"Month",""&amp;$A8)</f>
        <v>950</v>
      </c>
      <c r="D8" s="2">
        <f t="shared" si="0"/>
        <v>0</v>
      </c>
      <c r="E8" s="2" t="e">
        <f>IFERROR(GETPIVOTDATA(""&amp;C$1,Control!$A$3,"Month",""&amp;$A8),NA())</f>
        <v>#N/A</v>
      </c>
      <c r="F8" s="2"/>
      <c r="G8" s="2" t="s">
        <v>27</v>
      </c>
      <c r="H8" s="2">
        <f>GETPIVOTDATA("Sum of Completed",Control!$A$43,"Managers",""&amp;G8)</f>
        <v>10</v>
      </c>
      <c r="I8" s="2">
        <f>ISNUMBER(MATCH(G8,Control!$A$37:$A$40,0))*H8</f>
        <v>10</v>
      </c>
      <c r="J8" s="2">
        <f>GETPIVOTDATA("Sum of Plan",Control!$A$36)</f>
        <v>15</v>
      </c>
      <c r="L8" s="12" t="s">
        <v>49</v>
      </c>
      <c r="M8" s="10" t="s">
        <v>50</v>
      </c>
    </row>
    <row r="9" spans="1:20" x14ac:dyDescent="0.25">
      <c r="A9" s="2" t="s">
        <v>15</v>
      </c>
      <c r="B9" s="2">
        <f>GETPIVOTDATA(""&amp;B$1,Control!$A$20,"Month",""&amp;$A9)</f>
        <v>700</v>
      </c>
      <c r="C9" s="2">
        <f>GETPIVOTDATA(""&amp;C$1,Control!$A$20,"Month",""&amp;$A9)</f>
        <v>900</v>
      </c>
      <c r="D9" s="2">
        <f t="shared" si="0"/>
        <v>0</v>
      </c>
      <c r="E9" s="2" t="e">
        <f>IFERROR(GETPIVOTDATA(""&amp;C$1,Control!$A$3,"Month",""&amp;$A9),NA())</f>
        <v>#N/A</v>
      </c>
      <c r="F9" s="2"/>
      <c r="G9" s="2" t="s">
        <v>28</v>
      </c>
      <c r="H9" s="2">
        <f>GETPIVOTDATA("Sum of Completed",Control!$A$43,"Managers",""&amp;G9)</f>
        <v>10</v>
      </c>
      <c r="I9" s="2">
        <f>ISNUMBER(MATCH(G9,Control!$A$37:$A$40,0))*H9</f>
        <v>0</v>
      </c>
      <c r="L9" s="9" t="s">
        <v>47</v>
      </c>
      <c r="M9" s="7">
        <f>E15/SUM($C$15:$E$15)</f>
        <v>0.21276595744680851</v>
      </c>
    </row>
    <row r="10" spans="1:20" x14ac:dyDescent="0.25">
      <c r="A10" s="2" t="s">
        <v>16</v>
      </c>
      <c r="B10" s="2">
        <f>GETPIVOTDATA(""&amp;B$1,Control!$A$20,"Month",""&amp;$A10)</f>
        <v>800</v>
      </c>
      <c r="C10" s="2">
        <f>GETPIVOTDATA(""&amp;C$1,Control!$A$20,"Month",""&amp;$A10)</f>
        <v>700</v>
      </c>
      <c r="D10" s="2">
        <f t="shared" si="0"/>
        <v>0</v>
      </c>
      <c r="E10" s="2" t="e">
        <f>IFERROR(GETPIVOTDATA(""&amp;C$1,Control!$A$3,"Month",""&amp;$A10),NA())</f>
        <v>#N/A</v>
      </c>
      <c r="G10" s="2" t="s">
        <v>29</v>
      </c>
      <c r="H10" s="2">
        <f>GETPIVOTDATA("Sum of Completed",Control!$A$43,"Managers",""&amp;G10)</f>
        <v>24</v>
      </c>
      <c r="I10" s="2">
        <f>ISNUMBER(MATCH(G10,Control!$A$37:$A$40,0))*H10</f>
        <v>0</v>
      </c>
      <c r="L10" s="9" t="s">
        <v>48</v>
      </c>
      <c r="M10" s="7">
        <f>D15/SUM($C$15:$E$15)</f>
        <v>0.61702127659574468</v>
      </c>
    </row>
    <row r="11" spans="1:20" x14ac:dyDescent="0.25">
      <c r="A11" s="2" t="s">
        <v>17</v>
      </c>
      <c r="B11" s="2">
        <f>GETPIVOTDATA(""&amp;B$1,Control!$A$20,"Month",""&amp;$A11)</f>
        <v>1000</v>
      </c>
      <c r="C11" s="2">
        <f>GETPIVOTDATA(""&amp;C$1,Control!$A$20,"Month",""&amp;$A11)</f>
        <v>800</v>
      </c>
      <c r="D11" s="2">
        <f t="shared" si="0"/>
        <v>0</v>
      </c>
      <c r="E11" s="2" t="e">
        <f>IFERROR(GETPIVOTDATA(""&amp;C$1,Control!$A$3,"Month",""&amp;$A11),NA())</f>
        <v>#N/A</v>
      </c>
      <c r="F11" s="2"/>
      <c r="G11" s="2" t="s">
        <v>30</v>
      </c>
      <c r="H11" s="2">
        <f>GETPIVOTDATA("Sum of Completed",Control!$A$43,"Managers",""&amp;G11)</f>
        <v>17</v>
      </c>
      <c r="I11" s="2">
        <f>ISNUMBER(MATCH(G11,Control!$A$37:$A$40,0))*H11</f>
        <v>0</v>
      </c>
      <c r="L11" s="9" t="s">
        <v>46</v>
      </c>
      <c r="M11" s="7">
        <f>C15/SUM($C$15:$E$15)</f>
        <v>0.1702127659574468</v>
      </c>
    </row>
    <row r="12" spans="1:20" x14ac:dyDescent="0.25">
      <c r="A12" s="2" t="s">
        <v>18</v>
      </c>
      <c r="B12" s="2">
        <f>GETPIVOTDATA(""&amp;B$1,Control!$A$20,"Month",""&amp;$A12)</f>
        <v>950</v>
      </c>
      <c r="C12" s="2">
        <f>GETPIVOTDATA(""&amp;C$1,Control!$A$20,"Month",""&amp;$A12)</f>
        <v>600</v>
      </c>
      <c r="D12" s="2">
        <f t="shared" si="0"/>
        <v>0</v>
      </c>
      <c r="E12" s="2" t="e">
        <f>IFERROR(GETPIVOTDATA(""&amp;C$1,Control!$A$3,"Month",""&amp;$A12),NA())</f>
        <v>#N/A</v>
      </c>
      <c r="F12" s="2"/>
      <c r="G12" s="2"/>
      <c r="H12" s="2"/>
      <c r="I12" s="2">
        <f>GETPIVOTDATA("Sum of Completed",Control!$A$36)</f>
        <v>10</v>
      </c>
    </row>
    <row r="13" spans="1:20" x14ac:dyDescent="0.25">
      <c r="A13" s="2" t="s">
        <v>19</v>
      </c>
      <c r="B13" s="2">
        <f>GETPIVOTDATA(""&amp;B$1,Control!$A$20,"Month",""&amp;$A13)</f>
        <v>800</v>
      </c>
      <c r="C13" s="2">
        <f>GETPIVOTDATA(""&amp;C$1,Control!$A$20,"Month",""&amp;$A13)</f>
        <v>500</v>
      </c>
      <c r="D13" s="2">
        <f t="shared" si="0"/>
        <v>0</v>
      </c>
      <c r="E13" s="2" t="e">
        <f>IFERROR(GETPIVOTDATA(""&amp;C$1,Control!$A$3,"Month",""&amp;$A13),NA())</f>
        <v>#N/A</v>
      </c>
      <c r="K13" s="11" t="s">
        <v>37</v>
      </c>
      <c r="L13" s="11"/>
    </row>
    <row r="14" spans="1:20" x14ac:dyDescent="0.25">
      <c r="B14" s="2">
        <f>GETPIVOTDATA("Sum of Budget",Control!$A$3)</f>
        <v>450</v>
      </c>
      <c r="C14" s="2">
        <f>GETPIVOTDATA("Sum of Expenses",Control!$A$3)</f>
        <v>550</v>
      </c>
      <c r="D14" s="2">
        <f>SUM(D2:D13)</f>
        <v>-100</v>
      </c>
      <c r="K14" s="12" t="s">
        <v>35</v>
      </c>
      <c r="L14" s="10" t="s">
        <v>36</v>
      </c>
      <c r="M14" s="2"/>
    </row>
    <row r="15" spans="1:20" x14ac:dyDescent="0.25">
      <c r="C15" s="2">
        <f>GETPIVOTDATA("Sum of Added",Control!$A$3)</f>
        <v>8</v>
      </c>
      <c r="D15" s="2">
        <f>SUMIF(F17:F28,"&gt;0",D17:D28)</f>
        <v>29</v>
      </c>
      <c r="E15" s="2">
        <f>GETPIVOTDATA("Sum of Completed",Control!$A$3)</f>
        <v>10</v>
      </c>
      <c r="K15" s="9" t="str">
        <f t="array" ref="K15:L18">_xlfn._xlws.SORT($N$15:$O$18,2,-1)</f>
        <v>Flow Efficiency</v>
      </c>
      <c r="L15" s="7">
        <v>0.99</v>
      </c>
      <c r="M15" s="7">
        <f>1-L15</f>
        <v>1.0000000000000009E-2</v>
      </c>
      <c r="N15" s="3" t="s">
        <v>31</v>
      </c>
      <c r="O15">
        <f>GETPIVOTDATA(""&amp;N15,Control!$A$3)</f>
        <v>0.97</v>
      </c>
    </row>
    <row r="16" spans="1:20" x14ac:dyDescent="0.25">
      <c r="A16" s="10" t="s">
        <v>54</v>
      </c>
      <c r="B16" s="10" t="s">
        <v>53</v>
      </c>
      <c r="C16" s="10" t="s">
        <v>46</v>
      </c>
      <c r="D16" s="10" t="s">
        <v>48</v>
      </c>
      <c r="E16" s="10" t="s">
        <v>47</v>
      </c>
      <c r="F16" s="10" t="s">
        <v>23</v>
      </c>
      <c r="G16" s="10" t="s">
        <v>68</v>
      </c>
      <c r="K16" s="9" t="str">
        <v>Commitment Reliability</v>
      </c>
      <c r="L16" s="7">
        <v>0.97</v>
      </c>
      <c r="M16" s="7">
        <f>1-L16</f>
        <v>3.0000000000000027E-2</v>
      </c>
      <c r="N16" s="3" t="s">
        <v>32</v>
      </c>
      <c r="O16">
        <f>GETPIVOTDATA(""&amp;N16,Control!$A$3)</f>
        <v>0.65</v>
      </c>
      <c r="P16" s="2"/>
    </row>
    <row r="17" spans="1:16" x14ac:dyDescent="0.25">
      <c r="A17" s="2" t="s">
        <v>8</v>
      </c>
      <c r="B17" s="2">
        <f>SUM(C18:C28)</f>
        <v>59</v>
      </c>
      <c r="C17" s="2">
        <f>GETPIVOTDATA(""&amp;C$16,Control!$A$20,"Month",""&amp;$A17)</f>
        <v>39</v>
      </c>
      <c r="D17" s="2">
        <v>0</v>
      </c>
      <c r="E17" s="2">
        <f>GETPIVOTDATA(""&amp;E$16,Control!$A$20,"Month",""&amp;$A17)</f>
        <v>0</v>
      </c>
      <c r="F17" s="2">
        <f>ISNUMBER(GETPIVOTDATA("Sum of Added",Control!$A$3,"Month",""&amp;A17))*(SUM(B17:E17)+MAX($B$17:$E$28)*0.2)</f>
        <v>0</v>
      </c>
      <c r="G17" s="2" t="str">
        <f t="shared" ref="G17:G28" si="1">IF(F17&gt;0,E17,"")</f>
        <v/>
      </c>
      <c r="K17" s="9" t="str">
        <v>On-Time Delivery Rate</v>
      </c>
      <c r="L17" s="7">
        <v>0.69</v>
      </c>
      <c r="M17" s="7">
        <f>1-L17</f>
        <v>0.31000000000000005</v>
      </c>
      <c r="N17" s="3" t="s">
        <v>33</v>
      </c>
      <c r="O17">
        <f>GETPIVOTDATA(""&amp;N17,Control!$A$3)</f>
        <v>0.69</v>
      </c>
      <c r="P17" s="2"/>
    </row>
    <row r="18" spans="1:16" x14ac:dyDescent="0.25">
      <c r="A18" s="2" t="s">
        <v>9</v>
      </c>
      <c r="B18" s="2">
        <f t="shared" ref="B18:B28" si="2">SUM(C19:C29)</f>
        <v>53</v>
      </c>
      <c r="C18" s="2">
        <f>GETPIVOTDATA(""&amp;C$16,Control!$A$20,"Month",""&amp;$A18)</f>
        <v>6</v>
      </c>
      <c r="D18" s="2">
        <f t="shared" ref="D18:D24" si="3">SUM(C17:D17)-E18</f>
        <v>32</v>
      </c>
      <c r="E18" s="2">
        <f>GETPIVOTDATA(""&amp;E$16,Control!$A$20,"Month",""&amp;$A18)</f>
        <v>7</v>
      </c>
      <c r="F18" s="2">
        <f>ISNUMBER(GETPIVOTDATA("Sum of Added",Control!$A$3,"Month",""&amp;A18))*(SUM(B18:E18)+MAX($B$17:$E$28)*0.2)</f>
        <v>0</v>
      </c>
      <c r="G18" s="2" t="str">
        <f t="shared" si="1"/>
        <v/>
      </c>
      <c r="K18" s="9" t="str">
        <v>Defect-Free Delivery Rate</v>
      </c>
      <c r="L18" s="7">
        <v>0.65</v>
      </c>
      <c r="M18" s="7">
        <f>1-L18</f>
        <v>0.35</v>
      </c>
      <c r="N18" s="3" t="s">
        <v>34</v>
      </c>
      <c r="O18">
        <f>GETPIVOTDATA(""&amp;N18,Control!$A$3)</f>
        <v>0.99</v>
      </c>
      <c r="P18" s="2"/>
    </row>
    <row r="19" spans="1:16" x14ac:dyDescent="0.25">
      <c r="A19" s="2" t="s">
        <v>10</v>
      </c>
      <c r="B19" s="2">
        <f t="shared" si="2"/>
        <v>47</v>
      </c>
      <c r="C19" s="2">
        <f>GETPIVOTDATA(""&amp;C$16,Control!$A$20,"Month",""&amp;$A19)</f>
        <v>6</v>
      </c>
      <c r="D19" s="2">
        <f t="shared" si="3"/>
        <v>33</v>
      </c>
      <c r="E19" s="2">
        <f>GETPIVOTDATA(""&amp;E$16,Control!$A$20,"Month",""&amp;$A19)</f>
        <v>5</v>
      </c>
      <c r="F19" s="2">
        <f>ISNUMBER(GETPIVOTDATA("Sum of Added",Control!$A$3,"Month",""&amp;A19))*(SUM(B19:E19)+MAX($B$17:$E$28)*0.2)</f>
        <v>0</v>
      </c>
      <c r="G19" s="2" t="str">
        <f t="shared" si="1"/>
        <v/>
      </c>
      <c r="O19" s="2"/>
      <c r="P19" s="2"/>
    </row>
    <row r="20" spans="1:16" ht="15" customHeight="1" x14ac:dyDescent="0.25">
      <c r="A20" s="2" t="s">
        <v>11</v>
      </c>
      <c r="B20" s="2">
        <f t="shared" si="2"/>
        <v>39</v>
      </c>
      <c r="C20" s="2">
        <f>GETPIVOTDATA(""&amp;C$16,Control!$A$20,"Month",""&amp;$A20)</f>
        <v>8</v>
      </c>
      <c r="D20" s="2">
        <f t="shared" si="3"/>
        <v>29</v>
      </c>
      <c r="E20" s="2">
        <f>GETPIVOTDATA(""&amp;E$16,Control!$A$20,"Month",""&amp;$A20)</f>
        <v>10</v>
      </c>
      <c r="F20" s="2">
        <f>ISNUMBER(GETPIVOTDATA("Sum of Added",Control!$A$3,"Month",""&amp;A20))*(SUM(B20:E20)+MAX($B$17:$E$28)*0.2)</f>
        <v>97.8</v>
      </c>
      <c r="G20" s="2">
        <f t="shared" si="1"/>
        <v>10</v>
      </c>
    </row>
    <row r="21" spans="1:16" ht="15" customHeight="1" x14ac:dyDescent="0.25">
      <c r="A21" s="2" t="s">
        <v>12</v>
      </c>
      <c r="B21" s="2">
        <f t="shared" si="2"/>
        <v>27</v>
      </c>
      <c r="C21" s="2">
        <f>GETPIVOTDATA(""&amp;C$16,Control!$A$20,"Month",""&amp;$A21)</f>
        <v>12</v>
      </c>
      <c r="D21" s="2">
        <f t="shared" si="3"/>
        <v>16</v>
      </c>
      <c r="E21" s="2">
        <f>GETPIVOTDATA(""&amp;E$16,Control!$A$20,"Month",""&amp;$A21)</f>
        <v>21</v>
      </c>
      <c r="F21" s="2">
        <f>ISNUMBER(GETPIVOTDATA("Sum of Added",Control!$A$3,"Month",""&amp;A21))*(SUM(B21:E21)+MAX($B$17:$E$28)*0.2)</f>
        <v>0</v>
      </c>
      <c r="G21" s="2" t="str">
        <f t="shared" si="1"/>
        <v/>
      </c>
    </row>
    <row r="22" spans="1:16" ht="15" customHeight="1" x14ac:dyDescent="0.25">
      <c r="A22" s="2" t="s">
        <v>13</v>
      </c>
      <c r="B22" s="2">
        <f t="shared" si="2"/>
        <v>18</v>
      </c>
      <c r="C22" s="2">
        <f>GETPIVOTDATA(""&amp;C$16,Control!$A$20,"Month",""&amp;$A22)</f>
        <v>9</v>
      </c>
      <c r="D22" s="2">
        <f t="shared" si="3"/>
        <v>11</v>
      </c>
      <c r="E22" s="2">
        <f>GETPIVOTDATA(""&amp;E$16,Control!$A$20,"Month",""&amp;$A22)</f>
        <v>17</v>
      </c>
      <c r="F22" s="2">
        <f>ISNUMBER(GETPIVOTDATA("Sum of Added",Control!$A$3,"Month",""&amp;A22))*(SUM(B22:E22)+MAX($B$17:$E$28)*0.2)</f>
        <v>0</v>
      </c>
      <c r="G22" s="2" t="str">
        <f t="shared" si="1"/>
        <v/>
      </c>
    </row>
    <row r="23" spans="1:16" x14ac:dyDescent="0.25">
      <c r="A23" s="2" t="s">
        <v>14</v>
      </c>
      <c r="B23" s="2">
        <f t="shared" si="2"/>
        <v>10</v>
      </c>
      <c r="C23" s="2">
        <f>GETPIVOTDATA(""&amp;C$16,Control!$A$20,"Month",""&amp;$A23)</f>
        <v>8</v>
      </c>
      <c r="D23" s="2">
        <f t="shared" si="3"/>
        <v>5</v>
      </c>
      <c r="E23" s="2">
        <f>GETPIVOTDATA(""&amp;E$16,Control!$A$20,"Month",""&amp;$A23)</f>
        <v>15</v>
      </c>
      <c r="F23" s="2">
        <f>ISNUMBER(GETPIVOTDATA("Sum of Added",Control!$A$3,"Month",""&amp;A23))*(SUM(B23:E23)+MAX($B$17:$E$28)*0.2)</f>
        <v>0</v>
      </c>
      <c r="G23" s="2" t="str">
        <f t="shared" si="1"/>
        <v/>
      </c>
      <c r="O23" s="2"/>
      <c r="P23" s="2"/>
    </row>
    <row r="24" spans="1:16" x14ac:dyDescent="0.25">
      <c r="A24" s="2" t="s">
        <v>15</v>
      </c>
      <c r="B24" s="2">
        <v>5</v>
      </c>
      <c r="C24" s="2">
        <f>GETPIVOTDATA(""&amp;C$16,Control!$A$20,"Month",""&amp;$A24)</f>
        <v>7</v>
      </c>
      <c r="D24" s="2">
        <f t="shared" si="3"/>
        <v>3</v>
      </c>
      <c r="E24" s="2">
        <f>GETPIVOTDATA(""&amp;E$16,Control!$A$20,"Month",""&amp;$A24)</f>
        <v>10</v>
      </c>
      <c r="F24" s="2">
        <f>ISNUMBER(GETPIVOTDATA("Sum of Added",Control!$A$3,"Month",""&amp;A24))*(SUM(B24:E24)+MAX($B$17:$E$28)*0.2)</f>
        <v>0</v>
      </c>
      <c r="G24" s="2" t="str">
        <f t="shared" si="1"/>
        <v/>
      </c>
      <c r="O24" s="2"/>
      <c r="P24" s="2"/>
    </row>
    <row r="25" spans="1:16" x14ac:dyDescent="0.25">
      <c r="A25" s="2" t="s">
        <v>16</v>
      </c>
      <c r="B25" s="2">
        <v>3</v>
      </c>
      <c r="C25" s="2">
        <f>GETPIVOTDATA(""&amp;C$16,Control!$A$20,"Month",""&amp;$A25)</f>
        <v>2</v>
      </c>
      <c r="D25" s="2">
        <f t="shared" ref="D25:D26" si="4">SUM(C24:D24)-E25</f>
        <v>5</v>
      </c>
      <c r="E25" s="2">
        <f>GETPIVOTDATA(""&amp;E$16,Control!$A$20,"Month",""&amp;$A25)</f>
        <v>5</v>
      </c>
      <c r="F25" s="2">
        <f>ISNUMBER(GETPIVOTDATA("Sum of Added",Control!$A$3,"Month",""&amp;A25))*(SUM(B25:E25)+MAX($B$17:$E$28)*0.2)</f>
        <v>0</v>
      </c>
      <c r="G25" s="2" t="str">
        <f t="shared" si="1"/>
        <v/>
      </c>
      <c r="O25" s="2"/>
      <c r="P25" s="2"/>
    </row>
    <row r="26" spans="1:16" x14ac:dyDescent="0.25">
      <c r="A26" s="2" t="s">
        <v>17</v>
      </c>
      <c r="B26" s="2">
        <v>2</v>
      </c>
      <c r="C26" s="2">
        <f>GETPIVOTDATA(""&amp;C$16,Control!$A$20,"Month",""&amp;$A26)</f>
        <v>1</v>
      </c>
      <c r="D26" s="2">
        <f t="shared" si="4"/>
        <v>3</v>
      </c>
      <c r="E26" s="2">
        <f>GETPIVOTDATA(""&amp;E$16,Control!$A$20,"Month",""&amp;$A26)</f>
        <v>4</v>
      </c>
      <c r="F26" s="2">
        <f>ISNUMBER(GETPIVOTDATA("Sum of Added",Control!$A$3,"Month",""&amp;A26))*(SUM(B26:E26)+MAX($B$17:$E$28)*0.2)</f>
        <v>0</v>
      </c>
      <c r="G26" s="2" t="str">
        <f t="shared" si="1"/>
        <v/>
      </c>
      <c r="O26" s="2"/>
      <c r="P26" s="2"/>
    </row>
    <row r="27" spans="1:16" x14ac:dyDescent="0.25">
      <c r="A27" s="2" t="s">
        <v>18</v>
      </c>
      <c r="B27" s="2">
        <f t="shared" si="2"/>
        <v>0</v>
      </c>
      <c r="C27" s="2">
        <f>GETPIVOTDATA(""&amp;C$16,Control!$A$20,"Month",""&amp;$A27)</f>
        <v>0</v>
      </c>
      <c r="D27" s="2">
        <f>SUM(C26:D26)-E27</f>
        <v>1</v>
      </c>
      <c r="E27" s="2">
        <f>GETPIVOTDATA(""&amp;E$16,Control!$A$20,"Month",""&amp;$A27)</f>
        <v>3</v>
      </c>
      <c r="F27" s="2">
        <f>ISNUMBER(GETPIVOTDATA("Sum of Added",Control!$A$3,"Month",""&amp;A27))*(SUM(B27:E27)+MAX($B$17:$E$28)*0.2)</f>
        <v>0</v>
      </c>
      <c r="G27" s="2" t="str">
        <f t="shared" si="1"/>
        <v/>
      </c>
      <c r="O27" s="2"/>
      <c r="P27" s="2"/>
    </row>
    <row r="28" spans="1:16" x14ac:dyDescent="0.25">
      <c r="A28" s="2" t="s">
        <v>19</v>
      </c>
      <c r="B28" s="2">
        <f t="shared" si="2"/>
        <v>0</v>
      </c>
      <c r="C28" s="2">
        <f>GETPIVOTDATA(""&amp;C$16,Control!$A$20,"Month",""&amp;$A28)</f>
        <v>0</v>
      </c>
      <c r="D28" s="2">
        <f>SUM(C27:D27)-E28</f>
        <v>0</v>
      </c>
      <c r="E28" s="2">
        <f>GETPIVOTDATA(""&amp;E$16,Control!$A$20,"Month",""&amp;$A28)</f>
        <v>1</v>
      </c>
      <c r="F28" s="2">
        <f>ISNUMBER(GETPIVOTDATA("Sum of Added",Control!$A$3,"Month",""&amp;A28))*(SUM(B28:E28)+MAX($B$17:$E$28)*0.2)</f>
        <v>0</v>
      </c>
      <c r="G28" s="2" t="str">
        <f t="shared" si="1"/>
        <v/>
      </c>
    </row>
  </sheetData>
  <mergeCells count="1">
    <mergeCell ref="I1:K1"/>
  </mergeCells>
  <phoneticPr fontId="4" type="noConversion"/>
  <pageMargins left="0.7" right="0.7" top="0.75" bottom="0.75" header="0.3" footer="0.3"/>
  <ignoredErrors>
    <ignoredError sqref="B17:B23 D18 B27:B28"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3:P48"/>
  <sheetViews>
    <sheetView workbookViewId="0">
      <selection activeCell="G20" sqref="G20:O22"/>
    </sheetView>
  </sheetViews>
  <sheetFormatPr defaultRowHeight="15" x14ac:dyDescent="0.25"/>
  <cols>
    <col min="1" max="1" width="12.42578125" bestFit="1" customWidth="1"/>
    <col min="2" max="2" width="16.42578125" bestFit="1" customWidth="1"/>
    <col min="3" max="3" width="10.7109375" bestFit="1" customWidth="1"/>
    <col min="4" max="4" width="12.42578125" bestFit="1" customWidth="1"/>
    <col min="5" max="5" width="16.42578125" bestFit="1" customWidth="1"/>
    <col min="6" max="6" width="30.28515625" bestFit="1" customWidth="1"/>
    <col min="7" max="7" width="31.28515625" bestFit="1" customWidth="1"/>
    <col min="8" max="8" width="28.5703125" bestFit="1" customWidth="1"/>
    <col min="9" max="9" width="22.42578125" bestFit="1" customWidth="1"/>
    <col min="10" max="10" width="20.140625" bestFit="1" customWidth="1"/>
    <col min="11" max="11" width="18" bestFit="1" customWidth="1"/>
    <col min="12" max="12" width="18.28515625" bestFit="1" customWidth="1"/>
    <col min="13" max="13" width="18.140625" bestFit="1" customWidth="1"/>
    <col min="14" max="14" width="18.7109375" bestFit="1" customWidth="1"/>
    <col min="15" max="15" width="10.7109375" bestFit="1" customWidth="1"/>
    <col min="16" max="16" width="13.42578125" bestFit="1" customWidth="1"/>
  </cols>
  <sheetData>
    <row r="3" spans="1:16" x14ac:dyDescent="0.25">
      <c r="A3" s="15" t="s">
        <v>59</v>
      </c>
      <c r="B3" t="s">
        <v>61</v>
      </c>
      <c r="C3" t="s">
        <v>62</v>
      </c>
      <c r="D3" t="s">
        <v>63</v>
      </c>
      <c r="E3" t="s">
        <v>64</v>
      </c>
      <c r="F3" t="s">
        <v>69</v>
      </c>
      <c r="G3" t="s">
        <v>70</v>
      </c>
      <c r="H3" t="s">
        <v>71</v>
      </c>
      <c r="I3" t="s">
        <v>72</v>
      </c>
      <c r="J3" t="s">
        <v>73</v>
      </c>
      <c r="K3" t="s">
        <v>74</v>
      </c>
      <c r="L3" t="s">
        <v>75</v>
      </c>
      <c r="M3" t="s">
        <v>76</v>
      </c>
      <c r="N3" t="s">
        <v>77</v>
      </c>
      <c r="O3" t="s">
        <v>65</v>
      </c>
      <c r="P3" t="s">
        <v>67</v>
      </c>
    </row>
    <row r="4" spans="1:16" x14ac:dyDescent="0.25">
      <c r="A4" s="3" t="s">
        <v>11</v>
      </c>
      <c r="B4">
        <v>450</v>
      </c>
      <c r="C4">
        <v>550</v>
      </c>
      <c r="D4">
        <v>8</v>
      </c>
      <c r="E4">
        <v>10</v>
      </c>
      <c r="F4" s="4">
        <v>0.97</v>
      </c>
      <c r="G4" s="4">
        <v>0.65</v>
      </c>
      <c r="H4" s="4">
        <v>0.69</v>
      </c>
      <c r="I4" s="4">
        <v>0.99</v>
      </c>
      <c r="J4">
        <v>7</v>
      </c>
      <c r="K4">
        <v>9</v>
      </c>
      <c r="L4">
        <v>10</v>
      </c>
      <c r="M4">
        <v>10</v>
      </c>
      <c r="N4">
        <v>10</v>
      </c>
      <c r="O4">
        <v>15</v>
      </c>
      <c r="P4">
        <v>4</v>
      </c>
    </row>
    <row r="5" spans="1:16" x14ac:dyDescent="0.25">
      <c r="A5" s="3" t="s">
        <v>60</v>
      </c>
      <c r="B5">
        <v>450</v>
      </c>
      <c r="C5">
        <v>550</v>
      </c>
      <c r="D5">
        <v>8</v>
      </c>
      <c r="E5">
        <v>10</v>
      </c>
      <c r="F5" s="4">
        <v>0.97</v>
      </c>
      <c r="G5" s="4">
        <v>0.65</v>
      </c>
      <c r="H5" s="4">
        <v>0.69</v>
      </c>
      <c r="I5" s="4">
        <v>0.99</v>
      </c>
      <c r="J5">
        <v>7</v>
      </c>
      <c r="K5">
        <v>9</v>
      </c>
      <c r="L5">
        <v>10</v>
      </c>
      <c r="M5">
        <v>10</v>
      </c>
      <c r="N5">
        <v>10</v>
      </c>
      <c r="O5">
        <v>15</v>
      </c>
      <c r="P5">
        <v>4</v>
      </c>
    </row>
    <row r="20" spans="1:5" ht="15" customHeight="1" x14ac:dyDescent="0.25">
      <c r="A20" s="15" t="s">
        <v>59</v>
      </c>
      <c r="B20" t="s">
        <v>61</v>
      </c>
      <c r="C20" t="s">
        <v>62</v>
      </c>
      <c r="D20" t="s">
        <v>63</v>
      </c>
      <c r="E20" t="s">
        <v>64</v>
      </c>
    </row>
    <row r="21" spans="1:5" ht="15" customHeight="1" x14ac:dyDescent="0.25">
      <c r="A21" s="3" t="s">
        <v>8</v>
      </c>
      <c r="B21">
        <v>500</v>
      </c>
      <c r="C21">
        <v>400</v>
      </c>
      <c r="D21">
        <v>39</v>
      </c>
      <c r="E21">
        <v>0</v>
      </c>
    </row>
    <row r="22" spans="1:5" ht="15" customHeight="1" x14ac:dyDescent="0.25">
      <c r="A22" s="3" t="s">
        <v>9</v>
      </c>
      <c r="B22">
        <v>400</v>
      </c>
      <c r="C22">
        <v>500</v>
      </c>
      <c r="D22">
        <v>6</v>
      </c>
      <c r="E22">
        <v>7</v>
      </c>
    </row>
    <row r="23" spans="1:5" x14ac:dyDescent="0.25">
      <c r="A23" s="3" t="s">
        <v>10</v>
      </c>
      <c r="B23">
        <v>500</v>
      </c>
      <c r="C23">
        <v>350</v>
      </c>
      <c r="D23">
        <v>6</v>
      </c>
      <c r="E23">
        <v>5</v>
      </c>
    </row>
    <row r="24" spans="1:5" x14ac:dyDescent="0.25">
      <c r="A24" s="3" t="s">
        <v>11</v>
      </c>
      <c r="B24">
        <v>450</v>
      </c>
      <c r="C24">
        <v>550</v>
      </c>
      <c r="D24">
        <v>8</v>
      </c>
      <c r="E24">
        <v>10</v>
      </c>
    </row>
    <row r="25" spans="1:5" x14ac:dyDescent="0.25">
      <c r="A25" s="3" t="s">
        <v>12</v>
      </c>
      <c r="B25">
        <v>700</v>
      </c>
      <c r="C25">
        <v>600</v>
      </c>
      <c r="D25">
        <v>12</v>
      </c>
      <c r="E25">
        <v>21</v>
      </c>
    </row>
    <row r="26" spans="1:5" x14ac:dyDescent="0.25">
      <c r="A26" s="3" t="s">
        <v>13</v>
      </c>
      <c r="B26">
        <v>600</v>
      </c>
      <c r="C26">
        <v>800</v>
      </c>
      <c r="D26">
        <v>9</v>
      </c>
      <c r="E26">
        <v>17</v>
      </c>
    </row>
    <row r="27" spans="1:5" x14ac:dyDescent="0.25">
      <c r="A27" s="3" t="s">
        <v>14</v>
      </c>
      <c r="B27">
        <v>800</v>
      </c>
      <c r="C27">
        <v>950</v>
      </c>
      <c r="D27">
        <v>8</v>
      </c>
      <c r="E27">
        <v>15</v>
      </c>
    </row>
    <row r="28" spans="1:5" x14ac:dyDescent="0.25">
      <c r="A28" s="3" t="s">
        <v>15</v>
      </c>
      <c r="B28">
        <v>700</v>
      </c>
      <c r="C28">
        <v>900</v>
      </c>
      <c r="D28">
        <v>7</v>
      </c>
      <c r="E28">
        <v>10</v>
      </c>
    </row>
    <row r="29" spans="1:5" x14ac:dyDescent="0.25">
      <c r="A29" s="3" t="s">
        <v>16</v>
      </c>
      <c r="B29">
        <v>800</v>
      </c>
      <c r="C29">
        <v>700</v>
      </c>
      <c r="D29">
        <v>2</v>
      </c>
      <c r="E29">
        <v>5</v>
      </c>
    </row>
    <row r="30" spans="1:5" x14ac:dyDescent="0.25">
      <c r="A30" s="3" t="s">
        <v>17</v>
      </c>
      <c r="B30">
        <v>1000</v>
      </c>
      <c r="C30">
        <v>800</v>
      </c>
      <c r="D30">
        <v>1</v>
      </c>
      <c r="E30">
        <v>4</v>
      </c>
    </row>
    <row r="31" spans="1:5" x14ac:dyDescent="0.25">
      <c r="A31" s="3" t="s">
        <v>18</v>
      </c>
      <c r="B31">
        <v>950</v>
      </c>
      <c r="C31">
        <v>600</v>
      </c>
      <c r="D31">
        <v>0</v>
      </c>
      <c r="E31">
        <v>3</v>
      </c>
    </row>
    <row r="32" spans="1:5" x14ac:dyDescent="0.25">
      <c r="A32" s="3" t="s">
        <v>19</v>
      </c>
      <c r="B32">
        <v>800</v>
      </c>
      <c r="C32">
        <v>500</v>
      </c>
      <c r="D32">
        <v>0</v>
      </c>
      <c r="E32">
        <v>1</v>
      </c>
    </row>
    <row r="33" spans="1:5" x14ac:dyDescent="0.25">
      <c r="A33" s="3" t="s">
        <v>60</v>
      </c>
      <c r="B33">
        <v>8200</v>
      </c>
      <c r="C33">
        <v>7650</v>
      </c>
      <c r="D33">
        <v>98</v>
      </c>
      <c r="E33">
        <v>98</v>
      </c>
    </row>
    <row r="36" spans="1:5" x14ac:dyDescent="0.25">
      <c r="A36" s="15" t="s">
        <v>59</v>
      </c>
      <c r="B36" t="s">
        <v>64</v>
      </c>
      <c r="C36" t="s">
        <v>65</v>
      </c>
    </row>
    <row r="37" spans="1:5" x14ac:dyDescent="0.25">
      <c r="A37" s="3" t="s">
        <v>27</v>
      </c>
      <c r="B37">
        <v>10</v>
      </c>
      <c r="C37">
        <v>15</v>
      </c>
    </row>
    <row r="38" spans="1:5" x14ac:dyDescent="0.25">
      <c r="A38" s="3" t="s">
        <v>60</v>
      </c>
      <c r="B38">
        <v>10</v>
      </c>
      <c r="C38">
        <v>15</v>
      </c>
    </row>
    <row r="43" spans="1:5" x14ac:dyDescent="0.25">
      <c r="A43" s="15" t="s">
        <v>59</v>
      </c>
      <c r="B43" t="s">
        <v>64</v>
      </c>
      <c r="C43" t="s">
        <v>65</v>
      </c>
    </row>
    <row r="44" spans="1:5" x14ac:dyDescent="0.25">
      <c r="A44" s="3" t="s">
        <v>27</v>
      </c>
      <c r="B44">
        <v>10</v>
      </c>
      <c r="C44">
        <v>15</v>
      </c>
    </row>
    <row r="45" spans="1:5" x14ac:dyDescent="0.25">
      <c r="A45" s="3" t="s">
        <v>28</v>
      </c>
      <c r="B45">
        <v>10</v>
      </c>
      <c r="C45">
        <v>45</v>
      </c>
    </row>
    <row r="46" spans="1:5" x14ac:dyDescent="0.25">
      <c r="A46" s="3" t="s">
        <v>29</v>
      </c>
      <c r="B46">
        <v>24</v>
      </c>
      <c r="C46">
        <v>30</v>
      </c>
    </row>
    <row r="47" spans="1:5" x14ac:dyDescent="0.25">
      <c r="A47" s="3" t="s">
        <v>30</v>
      </c>
      <c r="B47">
        <v>17</v>
      </c>
      <c r="C47">
        <v>55</v>
      </c>
    </row>
    <row r="48" spans="1:5" x14ac:dyDescent="0.25">
      <c r="A48" s="3" t="s">
        <v>60</v>
      </c>
      <c r="B48">
        <v>61</v>
      </c>
      <c r="C48">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R145"/>
  <sheetViews>
    <sheetView topLeftCell="H1" zoomScale="60" zoomScaleNormal="60" workbookViewId="0">
      <selection activeCell="S1" sqref="S1:AA3"/>
    </sheetView>
  </sheetViews>
  <sheetFormatPr defaultRowHeight="15" x14ac:dyDescent="0.25"/>
  <cols>
    <col min="1" max="3" width="8.85546875" style="2"/>
    <col min="4" max="4" width="10.7109375" style="2" customWidth="1"/>
    <col min="6" max="6" width="10.7109375" customWidth="1"/>
    <col min="7" max="7" width="8.85546875" style="2"/>
    <col min="8" max="8" width="12.28515625" style="2" customWidth="1"/>
    <col min="9" max="17" width="13.85546875" customWidth="1"/>
    <col min="18" max="18" width="13.85546875" style="2" customWidth="1"/>
  </cols>
  <sheetData>
    <row r="1" spans="1:18" ht="31.15" customHeight="1" x14ac:dyDescent="0.25">
      <c r="A1" s="13" t="s">
        <v>55</v>
      </c>
      <c r="B1" s="13" t="s">
        <v>56</v>
      </c>
      <c r="C1" s="13" t="s">
        <v>66</v>
      </c>
      <c r="D1" s="13" t="s">
        <v>57</v>
      </c>
      <c r="E1" s="13" t="s">
        <v>20</v>
      </c>
      <c r="F1" s="13" t="s">
        <v>21</v>
      </c>
      <c r="G1" s="13" t="s">
        <v>46</v>
      </c>
      <c r="H1" s="13" t="s">
        <v>47</v>
      </c>
      <c r="I1" s="14" t="s">
        <v>31</v>
      </c>
      <c r="J1" s="14" t="s">
        <v>32</v>
      </c>
      <c r="K1" s="14" t="s">
        <v>33</v>
      </c>
      <c r="L1" s="14" t="s">
        <v>34</v>
      </c>
      <c r="M1" s="14" t="s">
        <v>39</v>
      </c>
      <c r="N1" s="14" t="s">
        <v>40</v>
      </c>
      <c r="O1" s="14" t="s">
        <v>41</v>
      </c>
      <c r="P1" s="14" t="s">
        <v>42</v>
      </c>
      <c r="Q1" s="14" t="s">
        <v>43</v>
      </c>
      <c r="R1" s="13" t="s">
        <v>52</v>
      </c>
    </row>
    <row r="2" spans="1:18" ht="15" customHeight="1" x14ac:dyDescent="0.25">
      <c r="A2" s="2">
        <v>2028</v>
      </c>
      <c r="B2" s="2" t="s">
        <v>8</v>
      </c>
      <c r="C2" s="2">
        <v>1</v>
      </c>
      <c r="D2" s="2" t="s">
        <v>27</v>
      </c>
      <c r="E2" s="2">
        <v>500</v>
      </c>
      <c r="F2" s="2">
        <v>400</v>
      </c>
      <c r="G2" s="2">
        <v>39</v>
      </c>
      <c r="H2" s="2">
        <v>0</v>
      </c>
      <c r="I2" s="7">
        <v>0.94</v>
      </c>
      <c r="J2" s="7">
        <v>0.8</v>
      </c>
      <c r="K2" s="7">
        <v>0.65</v>
      </c>
      <c r="L2" s="7">
        <v>0.43</v>
      </c>
      <c r="M2" s="2">
        <v>7</v>
      </c>
      <c r="N2" s="2">
        <v>9</v>
      </c>
      <c r="O2" s="2">
        <v>7</v>
      </c>
      <c r="P2" s="2">
        <v>8</v>
      </c>
      <c r="Q2" s="2">
        <v>8</v>
      </c>
      <c r="R2" s="2">
        <v>15</v>
      </c>
    </row>
    <row r="3" spans="1:18" ht="15" customHeight="1" x14ac:dyDescent="0.25">
      <c r="A3" s="2">
        <v>2028</v>
      </c>
      <c r="B3" s="2" t="s">
        <v>9</v>
      </c>
      <c r="C3" s="2">
        <v>2</v>
      </c>
      <c r="D3" s="2" t="s">
        <v>27</v>
      </c>
      <c r="E3" s="2">
        <v>400</v>
      </c>
      <c r="F3" s="2">
        <v>500</v>
      </c>
      <c r="G3" s="2">
        <v>6</v>
      </c>
      <c r="H3" s="2">
        <v>7</v>
      </c>
      <c r="I3" s="8">
        <v>0.73</v>
      </c>
      <c r="J3" s="8">
        <v>0.7</v>
      </c>
      <c r="K3" s="8">
        <v>0.77</v>
      </c>
      <c r="L3" s="8">
        <v>0.82</v>
      </c>
      <c r="M3" s="2">
        <v>10</v>
      </c>
      <c r="N3" s="2">
        <v>8</v>
      </c>
      <c r="O3" s="2">
        <v>10</v>
      </c>
      <c r="P3" s="2">
        <v>8</v>
      </c>
      <c r="Q3" s="2">
        <v>10</v>
      </c>
      <c r="R3" s="2">
        <v>15</v>
      </c>
    </row>
    <row r="4" spans="1:18" x14ac:dyDescent="0.25">
      <c r="A4" s="2">
        <v>2028</v>
      </c>
      <c r="B4" s="2" t="s">
        <v>10</v>
      </c>
      <c r="C4" s="2">
        <v>3</v>
      </c>
      <c r="D4" s="2" t="s">
        <v>27</v>
      </c>
      <c r="E4" s="2">
        <v>500</v>
      </c>
      <c r="F4" s="2">
        <v>350</v>
      </c>
      <c r="G4" s="2">
        <v>6</v>
      </c>
      <c r="H4" s="2">
        <v>5</v>
      </c>
      <c r="I4" s="8">
        <v>0.44</v>
      </c>
      <c r="J4" s="8">
        <v>0.44</v>
      </c>
      <c r="K4" s="8">
        <v>0.52</v>
      </c>
      <c r="L4" s="8">
        <v>0.64</v>
      </c>
      <c r="M4" s="2">
        <v>6</v>
      </c>
      <c r="N4" s="2">
        <v>7</v>
      </c>
      <c r="O4" s="2">
        <v>8</v>
      </c>
      <c r="P4" s="2">
        <v>9</v>
      </c>
      <c r="Q4" s="2">
        <v>8</v>
      </c>
      <c r="R4" s="2">
        <v>15</v>
      </c>
    </row>
    <row r="5" spans="1:18" x14ac:dyDescent="0.25">
      <c r="A5" s="2">
        <v>2028</v>
      </c>
      <c r="B5" s="2" t="s">
        <v>11</v>
      </c>
      <c r="C5" s="2">
        <v>4</v>
      </c>
      <c r="D5" s="2" t="s">
        <v>27</v>
      </c>
      <c r="E5" s="2">
        <v>450</v>
      </c>
      <c r="F5" s="2">
        <v>550</v>
      </c>
      <c r="G5" s="2">
        <v>8</v>
      </c>
      <c r="H5" s="2">
        <v>10</v>
      </c>
      <c r="I5" s="8">
        <v>0.97</v>
      </c>
      <c r="J5" s="8">
        <v>0.65</v>
      </c>
      <c r="K5" s="8">
        <v>0.69</v>
      </c>
      <c r="L5" s="8">
        <v>0.99</v>
      </c>
      <c r="M5" s="2">
        <v>7</v>
      </c>
      <c r="N5" s="2">
        <v>9</v>
      </c>
      <c r="O5" s="2">
        <v>10</v>
      </c>
      <c r="P5" s="2">
        <v>10</v>
      </c>
      <c r="Q5" s="2">
        <v>10</v>
      </c>
      <c r="R5" s="2">
        <v>15</v>
      </c>
    </row>
    <row r="6" spans="1:18" x14ac:dyDescent="0.25">
      <c r="A6" s="2">
        <v>2028</v>
      </c>
      <c r="B6" s="2" t="s">
        <v>12</v>
      </c>
      <c r="C6" s="2">
        <v>5</v>
      </c>
      <c r="D6" s="2" t="s">
        <v>27</v>
      </c>
      <c r="E6" s="2">
        <v>700</v>
      </c>
      <c r="F6" s="2">
        <v>600</v>
      </c>
      <c r="G6" s="2">
        <v>12</v>
      </c>
      <c r="H6" s="2">
        <v>21</v>
      </c>
      <c r="I6" s="8">
        <v>0.48</v>
      </c>
      <c r="J6" s="8">
        <v>0.66</v>
      </c>
      <c r="K6" s="8">
        <v>0.48</v>
      </c>
      <c r="L6" s="8">
        <v>0.85</v>
      </c>
      <c r="M6" s="2">
        <v>9</v>
      </c>
      <c r="N6" s="2">
        <v>5</v>
      </c>
      <c r="O6" s="2">
        <v>8</v>
      </c>
      <c r="P6" s="2">
        <v>10</v>
      </c>
      <c r="Q6" s="2">
        <v>8</v>
      </c>
      <c r="R6" s="2">
        <v>15</v>
      </c>
    </row>
    <row r="7" spans="1:18" x14ac:dyDescent="0.25">
      <c r="A7" s="2">
        <v>2028</v>
      </c>
      <c r="B7" s="2" t="s">
        <v>13</v>
      </c>
      <c r="C7" s="2">
        <v>6</v>
      </c>
      <c r="D7" s="2" t="s">
        <v>27</v>
      </c>
      <c r="E7" s="2">
        <v>600</v>
      </c>
      <c r="F7" s="2">
        <v>800</v>
      </c>
      <c r="G7" s="2">
        <v>9</v>
      </c>
      <c r="H7" s="2">
        <v>17</v>
      </c>
      <c r="I7" s="8">
        <v>0.56000000000000005</v>
      </c>
      <c r="J7" s="8">
        <v>0.42</v>
      </c>
      <c r="K7" s="8">
        <v>0.91</v>
      </c>
      <c r="L7" s="8">
        <v>0.95</v>
      </c>
      <c r="M7" s="2">
        <v>10</v>
      </c>
      <c r="N7" s="2">
        <v>6</v>
      </c>
      <c r="O7" s="2">
        <v>8</v>
      </c>
      <c r="P7" s="2">
        <v>9</v>
      </c>
      <c r="Q7" s="2">
        <v>8</v>
      </c>
      <c r="R7" s="2">
        <v>15</v>
      </c>
    </row>
    <row r="8" spans="1:18" x14ac:dyDescent="0.25">
      <c r="A8" s="2">
        <v>2028</v>
      </c>
      <c r="B8" s="2" t="s">
        <v>14</v>
      </c>
      <c r="C8" s="2">
        <v>7</v>
      </c>
      <c r="D8" s="2" t="s">
        <v>27</v>
      </c>
      <c r="E8" s="2">
        <v>800</v>
      </c>
      <c r="F8" s="2">
        <v>950</v>
      </c>
      <c r="G8" s="2">
        <v>8</v>
      </c>
      <c r="H8" s="2">
        <v>15</v>
      </c>
      <c r="I8" s="8">
        <v>0.55000000000000004</v>
      </c>
      <c r="J8" s="8">
        <v>0.56000000000000005</v>
      </c>
      <c r="K8" s="8">
        <v>0.56000000000000005</v>
      </c>
      <c r="L8" s="8">
        <v>0.92</v>
      </c>
      <c r="M8" s="2">
        <v>7</v>
      </c>
      <c r="N8" s="2">
        <v>10</v>
      </c>
      <c r="O8" s="2">
        <v>5</v>
      </c>
      <c r="P8" s="2">
        <v>6</v>
      </c>
      <c r="Q8" s="2">
        <v>5</v>
      </c>
      <c r="R8" s="2">
        <v>15</v>
      </c>
    </row>
    <row r="9" spans="1:18" x14ac:dyDescent="0.25">
      <c r="A9" s="2">
        <v>2028</v>
      </c>
      <c r="B9" s="2" t="s">
        <v>15</v>
      </c>
      <c r="C9" s="2">
        <v>8</v>
      </c>
      <c r="D9" s="2" t="s">
        <v>27</v>
      </c>
      <c r="E9" s="2">
        <v>700</v>
      </c>
      <c r="F9" s="2">
        <v>900</v>
      </c>
      <c r="G9" s="2">
        <v>7</v>
      </c>
      <c r="H9" s="2">
        <v>10</v>
      </c>
      <c r="I9" s="8">
        <v>0.99</v>
      </c>
      <c r="J9" s="8">
        <v>0.73</v>
      </c>
      <c r="K9" s="8">
        <v>0.48</v>
      </c>
      <c r="L9" s="8">
        <v>0.89</v>
      </c>
      <c r="M9" s="2">
        <v>10</v>
      </c>
      <c r="N9" s="2">
        <v>9</v>
      </c>
      <c r="O9" s="2">
        <v>6</v>
      </c>
      <c r="P9" s="2">
        <v>10</v>
      </c>
      <c r="Q9" s="2">
        <v>6</v>
      </c>
      <c r="R9" s="2">
        <v>15</v>
      </c>
    </row>
    <row r="10" spans="1:18" x14ac:dyDescent="0.25">
      <c r="A10" s="2">
        <v>2028</v>
      </c>
      <c r="B10" s="2" t="s">
        <v>16</v>
      </c>
      <c r="C10" s="2">
        <v>9</v>
      </c>
      <c r="D10" s="2" t="s">
        <v>27</v>
      </c>
      <c r="E10" s="2">
        <v>800</v>
      </c>
      <c r="F10" s="2">
        <v>700</v>
      </c>
      <c r="G10" s="2">
        <v>2</v>
      </c>
      <c r="H10" s="2">
        <v>5</v>
      </c>
      <c r="I10" s="8">
        <v>0.64</v>
      </c>
      <c r="J10" s="8">
        <v>0.96</v>
      </c>
      <c r="K10" s="8">
        <v>0.98</v>
      </c>
      <c r="L10" s="8">
        <v>0.87</v>
      </c>
      <c r="M10" s="2">
        <v>6</v>
      </c>
      <c r="N10" s="2">
        <v>9</v>
      </c>
      <c r="O10" s="2">
        <v>8</v>
      </c>
      <c r="P10" s="2">
        <v>10</v>
      </c>
      <c r="Q10" s="2">
        <v>6</v>
      </c>
      <c r="R10" s="2">
        <v>15</v>
      </c>
    </row>
    <row r="11" spans="1:18" x14ac:dyDescent="0.25">
      <c r="A11" s="2">
        <v>2028</v>
      </c>
      <c r="B11" s="2" t="s">
        <v>17</v>
      </c>
      <c r="C11" s="2">
        <v>10</v>
      </c>
      <c r="D11" s="2" t="s">
        <v>27</v>
      </c>
      <c r="E11" s="2">
        <v>1000</v>
      </c>
      <c r="F11" s="2">
        <v>800</v>
      </c>
      <c r="G11" s="2">
        <v>1</v>
      </c>
      <c r="H11" s="2">
        <v>4</v>
      </c>
      <c r="I11" s="8">
        <v>1</v>
      </c>
      <c r="J11" s="8">
        <v>0.84</v>
      </c>
      <c r="K11" s="8">
        <v>0.78</v>
      </c>
      <c r="L11" s="8">
        <v>0.88</v>
      </c>
      <c r="M11" s="2">
        <v>7</v>
      </c>
      <c r="N11" s="2">
        <v>7</v>
      </c>
      <c r="O11" s="2">
        <v>6</v>
      </c>
      <c r="P11" s="2">
        <v>7</v>
      </c>
      <c r="Q11" s="2">
        <v>5</v>
      </c>
      <c r="R11" s="2">
        <v>15</v>
      </c>
    </row>
    <row r="12" spans="1:18" x14ac:dyDescent="0.25">
      <c r="A12" s="2">
        <v>2028</v>
      </c>
      <c r="B12" s="2" t="s">
        <v>18</v>
      </c>
      <c r="C12" s="2">
        <v>11</v>
      </c>
      <c r="D12" s="2" t="s">
        <v>27</v>
      </c>
      <c r="E12" s="2">
        <v>950</v>
      </c>
      <c r="F12" s="2">
        <v>600</v>
      </c>
      <c r="G12" s="2">
        <v>0</v>
      </c>
      <c r="H12" s="2">
        <v>3</v>
      </c>
      <c r="I12" s="8">
        <v>0.74</v>
      </c>
      <c r="J12" s="8">
        <v>0.52</v>
      </c>
      <c r="K12" s="8">
        <v>0.47</v>
      </c>
      <c r="L12" s="8">
        <v>0.94</v>
      </c>
      <c r="M12" s="2">
        <v>5</v>
      </c>
      <c r="N12" s="2">
        <v>10</v>
      </c>
      <c r="O12" s="2">
        <v>7</v>
      </c>
      <c r="P12" s="2">
        <v>9</v>
      </c>
      <c r="Q12" s="2">
        <v>9</v>
      </c>
      <c r="R12" s="2">
        <v>15</v>
      </c>
    </row>
    <row r="13" spans="1:18" x14ac:dyDescent="0.25">
      <c r="A13" s="2">
        <v>2028</v>
      </c>
      <c r="B13" s="2" t="s">
        <v>19</v>
      </c>
      <c r="C13" s="2">
        <v>12</v>
      </c>
      <c r="D13" s="2" t="s">
        <v>27</v>
      </c>
      <c r="E13" s="2">
        <v>800</v>
      </c>
      <c r="F13" s="2">
        <v>500</v>
      </c>
      <c r="G13" s="2">
        <v>0</v>
      </c>
      <c r="H13" s="2">
        <v>1</v>
      </c>
      <c r="I13" s="8">
        <v>0.71</v>
      </c>
      <c r="J13" s="8">
        <v>0.79</v>
      </c>
      <c r="K13" s="8">
        <v>0.94</v>
      </c>
      <c r="L13" s="8">
        <v>0.51</v>
      </c>
      <c r="M13" s="2">
        <v>8</v>
      </c>
      <c r="N13" s="2">
        <v>9</v>
      </c>
      <c r="O13" s="2">
        <v>10</v>
      </c>
      <c r="P13" s="2">
        <v>5</v>
      </c>
      <c r="Q13" s="2">
        <v>5</v>
      </c>
      <c r="R13" s="2">
        <v>15</v>
      </c>
    </row>
    <row r="14" spans="1:18" x14ac:dyDescent="0.25">
      <c r="A14" s="2">
        <v>2029</v>
      </c>
      <c r="B14" s="2" t="s">
        <v>8</v>
      </c>
      <c r="C14" s="2">
        <v>1</v>
      </c>
      <c r="D14" s="2" t="s">
        <v>27</v>
      </c>
      <c r="E14" s="2">
        <v>620</v>
      </c>
      <c r="F14" s="2">
        <v>950</v>
      </c>
      <c r="G14" s="2">
        <v>70</v>
      </c>
      <c r="H14" s="2">
        <v>1</v>
      </c>
      <c r="I14" s="8">
        <v>0.79</v>
      </c>
      <c r="J14" s="8">
        <v>0.45</v>
      </c>
      <c r="K14" s="8">
        <v>0.52</v>
      </c>
      <c r="L14" s="8">
        <v>0.52</v>
      </c>
      <c r="M14" s="2">
        <v>8</v>
      </c>
      <c r="N14" s="2">
        <v>5</v>
      </c>
      <c r="O14" s="2">
        <v>6</v>
      </c>
      <c r="P14" s="2">
        <v>8</v>
      </c>
      <c r="Q14" s="2">
        <v>10</v>
      </c>
      <c r="R14" s="2">
        <v>30</v>
      </c>
    </row>
    <row r="15" spans="1:18" x14ac:dyDescent="0.25">
      <c r="A15" s="2">
        <v>2029</v>
      </c>
      <c r="B15" s="2" t="s">
        <v>9</v>
      </c>
      <c r="C15" s="2">
        <v>2</v>
      </c>
      <c r="D15" s="2" t="s">
        <v>27</v>
      </c>
      <c r="E15" s="2">
        <v>750</v>
      </c>
      <c r="F15" s="2">
        <v>800</v>
      </c>
      <c r="G15" s="2">
        <v>35</v>
      </c>
      <c r="H15" s="2">
        <v>14</v>
      </c>
      <c r="I15" s="8">
        <v>0.51</v>
      </c>
      <c r="J15" s="8">
        <v>0.95</v>
      </c>
      <c r="K15" s="8">
        <v>0.8</v>
      </c>
      <c r="L15" s="8">
        <v>0.62</v>
      </c>
      <c r="M15" s="2">
        <v>8</v>
      </c>
      <c r="N15" s="2">
        <v>9</v>
      </c>
      <c r="O15" s="2">
        <v>7</v>
      </c>
      <c r="P15" s="2">
        <v>5</v>
      </c>
      <c r="Q15" s="2">
        <v>9</v>
      </c>
      <c r="R15" s="2">
        <v>30</v>
      </c>
    </row>
    <row r="16" spans="1:18" x14ac:dyDescent="0.25">
      <c r="A16" s="2">
        <v>2029</v>
      </c>
      <c r="B16" s="2" t="s">
        <v>10</v>
      </c>
      <c r="C16" s="2">
        <v>3</v>
      </c>
      <c r="D16" s="2" t="s">
        <v>27</v>
      </c>
      <c r="E16" s="2">
        <v>880</v>
      </c>
      <c r="F16" s="2">
        <v>700</v>
      </c>
      <c r="G16" s="2">
        <v>32</v>
      </c>
      <c r="H16" s="2">
        <v>40</v>
      </c>
      <c r="I16" s="8">
        <v>0.43</v>
      </c>
      <c r="J16" s="8">
        <v>0.68</v>
      </c>
      <c r="K16" s="8">
        <v>0.82</v>
      </c>
      <c r="L16" s="8">
        <v>0.65</v>
      </c>
      <c r="M16" s="2">
        <v>8</v>
      </c>
      <c r="N16" s="2">
        <v>9</v>
      </c>
      <c r="O16" s="2">
        <v>9</v>
      </c>
      <c r="P16" s="2">
        <v>6</v>
      </c>
      <c r="Q16" s="2">
        <v>10</v>
      </c>
      <c r="R16" s="2">
        <v>30</v>
      </c>
    </row>
    <row r="17" spans="1:18" x14ac:dyDescent="0.25">
      <c r="A17" s="2">
        <v>2029</v>
      </c>
      <c r="B17" s="2" t="s">
        <v>11</v>
      </c>
      <c r="C17" s="2">
        <v>4</v>
      </c>
      <c r="D17" s="2" t="s">
        <v>27</v>
      </c>
      <c r="E17" s="2">
        <v>1020</v>
      </c>
      <c r="F17" s="2">
        <v>650</v>
      </c>
      <c r="G17" s="2">
        <v>20</v>
      </c>
      <c r="H17" s="2">
        <v>30</v>
      </c>
      <c r="I17" s="8">
        <v>0.55000000000000004</v>
      </c>
      <c r="J17" s="8">
        <v>0.51</v>
      </c>
      <c r="K17" s="8">
        <v>0.94</v>
      </c>
      <c r="L17" s="8">
        <v>0.92</v>
      </c>
      <c r="M17" s="2">
        <v>10</v>
      </c>
      <c r="N17" s="2">
        <v>9</v>
      </c>
      <c r="O17" s="2">
        <v>6</v>
      </c>
      <c r="P17" s="2">
        <v>5</v>
      </c>
      <c r="Q17" s="2">
        <v>8</v>
      </c>
      <c r="R17" s="2">
        <v>30</v>
      </c>
    </row>
    <row r="18" spans="1:18" x14ac:dyDescent="0.25">
      <c r="A18" s="2">
        <v>2029</v>
      </c>
      <c r="B18" s="2" t="s">
        <v>12</v>
      </c>
      <c r="C18" s="2">
        <v>5</v>
      </c>
      <c r="D18" s="2" t="s">
        <v>27</v>
      </c>
      <c r="E18" s="2">
        <v>1150</v>
      </c>
      <c r="F18" s="2">
        <v>550</v>
      </c>
      <c r="G18" s="2">
        <v>18</v>
      </c>
      <c r="H18" s="2">
        <v>15</v>
      </c>
      <c r="I18" s="8">
        <v>0.6</v>
      </c>
      <c r="J18" s="8">
        <v>0.47</v>
      </c>
      <c r="K18" s="8">
        <v>0.95</v>
      </c>
      <c r="L18" s="8">
        <v>0.69</v>
      </c>
      <c r="M18" s="2">
        <v>5</v>
      </c>
      <c r="N18" s="2">
        <v>6</v>
      </c>
      <c r="O18" s="2">
        <v>6</v>
      </c>
      <c r="P18" s="2">
        <v>7</v>
      </c>
      <c r="Q18" s="2">
        <v>7</v>
      </c>
      <c r="R18" s="2">
        <v>30</v>
      </c>
    </row>
    <row r="19" spans="1:18" x14ac:dyDescent="0.25">
      <c r="A19" s="2">
        <v>2029</v>
      </c>
      <c r="B19" s="2" t="s">
        <v>13</v>
      </c>
      <c r="C19" s="2">
        <v>6</v>
      </c>
      <c r="D19" s="2" t="s">
        <v>27</v>
      </c>
      <c r="E19" s="2">
        <v>1100</v>
      </c>
      <c r="F19" s="2">
        <v>600</v>
      </c>
      <c r="G19" s="2">
        <v>21</v>
      </c>
      <c r="H19" s="2">
        <v>20</v>
      </c>
      <c r="I19" s="8">
        <v>0.57999999999999996</v>
      </c>
      <c r="J19" s="8">
        <v>0.67</v>
      </c>
      <c r="K19" s="8">
        <v>0.41</v>
      </c>
      <c r="L19" s="8">
        <v>0.66</v>
      </c>
      <c r="M19" s="2">
        <v>6</v>
      </c>
      <c r="N19" s="2">
        <v>9</v>
      </c>
      <c r="O19" s="2">
        <v>6</v>
      </c>
      <c r="P19" s="2">
        <v>8</v>
      </c>
      <c r="Q19" s="2">
        <v>8</v>
      </c>
      <c r="R19" s="2">
        <v>30</v>
      </c>
    </row>
    <row r="20" spans="1:18" x14ac:dyDescent="0.25">
      <c r="A20" s="2">
        <v>2029</v>
      </c>
      <c r="B20" s="2" t="s">
        <v>14</v>
      </c>
      <c r="C20" s="2">
        <v>7</v>
      </c>
      <c r="D20" s="2" t="s">
        <v>27</v>
      </c>
      <c r="E20" s="2">
        <v>950</v>
      </c>
      <c r="F20" s="2">
        <v>750</v>
      </c>
      <c r="G20" s="2">
        <v>17</v>
      </c>
      <c r="H20" s="2">
        <v>22</v>
      </c>
      <c r="I20" s="8">
        <v>0.84</v>
      </c>
      <c r="J20" s="8">
        <v>0.57999999999999996</v>
      </c>
      <c r="K20" s="8">
        <v>0.95</v>
      </c>
      <c r="L20" s="8">
        <v>0.97</v>
      </c>
      <c r="M20" s="2">
        <v>7</v>
      </c>
      <c r="N20" s="2">
        <v>9</v>
      </c>
      <c r="O20" s="2">
        <v>7</v>
      </c>
      <c r="P20" s="2">
        <v>8</v>
      </c>
      <c r="Q20" s="2">
        <v>9</v>
      </c>
      <c r="R20" s="2">
        <v>30</v>
      </c>
    </row>
    <row r="21" spans="1:18" x14ac:dyDescent="0.25">
      <c r="A21" s="2">
        <v>2029</v>
      </c>
      <c r="B21" s="2" t="s">
        <v>15</v>
      </c>
      <c r="C21" s="2">
        <v>8</v>
      </c>
      <c r="D21" s="2" t="s">
        <v>27</v>
      </c>
      <c r="E21" s="2">
        <v>850</v>
      </c>
      <c r="F21" s="2">
        <v>900</v>
      </c>
      <c r="G21" s="2">
        <v>15</v>
      </c>
      <c r="H21" s="2">
        <v>28</v>
      </c>
      <c r="I21" s="8">
        <v>0.42</v>
      </c>
      <c r="J21" s="8">
        <v>0.59</v>
      </c>
      <c r="K21" s="8">
        <v>0.56000000000000005</v>
      </c>
      <c r="L21" s="8">
        <v>0.93</v>
      </c>
      <c r="M21" s="2">
        <v>6</v>
      </c>
      <c r="N21" s="2">
        <v>7</v>
      </c>
      <c r="O21" s="2">
        <v>8</v>
      </c>
      <c r="P21" s="2">
        <v>9</v>
      </c>
      <c r="Q21" s="2">
        <v>6</v>
      </c>
      <c r="R21" s="2">
        <v>30</v>
      </c>
    </row>
    <row r="22" spans="1:18" x14ac:dyDescent="0.25">
      <c r="A22" s="2">
        <v>2029</v>
      </c>
      <c r="B22" s="2" t="s">
        <v>16</v>
      </c>
      <c r="C22" s="2">
        <v>9</v>
      </c>
      <c r="D22" s="2" t="s">
        <v>27</v>
      </c>
      <c r="E22" s="2">
        <v>700</v>
      </c>
      <c r="F22" s="2">
        <v>1000</v>
      </c>
      <c r="G22" s="2">
        <v>11</v>
      </c>
      <c r="H22" s="2">
        <v>34</v>
      </c>
      <c r="I22" s="8">
        <v>0.62</v>
      </c>
      <c r="J22" s="8">
        <v>0.96</v>
      </c>
      <c r="K22" s="8">
        <v>0.7</v>
      </c>
      <c r="L22" s="8">
        <v>0.85</v>
      </c>
      <c r="M22" s="2">
        <v>7</v>
      </c>
      <c r="N22" s="2">
        <v>7</v>
      </c>
      <c r="O22" s="2">
        <v>5</v>
      </c>
      <c r="P22" s="2">
        <v>8</v>
      </c>
      <c r="Q22" s="2">
        <v>7</v>
      </c>
      <c r="R22" s="2">
        <v>30</v>
      </c>
    </row>
    <row r="23" spans="1:18" x14ac:dyDescent="0.25">
      <c r="A23" s="2">
        <v>2029</v>
      </c>
      <c r="B23" s="2" t="s">
        <v>17</v>
      </c>
      <c r="C23" s="2">
        <v>10</v>
      </c>
      <c r="D23" s="2" t="s">
        <v>27</v>
      </c>
      <c r="E23" s="2">
        <v>650</v>
      </c>
      <c r="F23" s="2">
        <v>850</v>
      </c>
      <c r="G23" s="2">
        <v>8</v>
      </c>
      <c r="H23" s="2">
        <v>23</v>
      </c>
      <c r="I23" s="8">
        <v>0.88</v>
      </c>
      <c r="J23" s="8">
        <v>0.6</v>
      </c>
      <c r="K23" s="8">
        <v>0.48</v>
      </c>
      <c r="L23" s="8">
        <v>0.47</v>
      </c>
      <c r="M23" s="2">
        <v>9</v>
      </c>
      <c r="N23" s="2">
        <v>5</v>
      </c>
      <c r="O23" s="2">
        <v>8</v>
      </c>
      <c r="P23" s="2">
        <v>6</v>
      </c>
      <c r="Q23" s="2">
        <v>6</v>
      </c>
      <c r="R23" s="2">
        <v>30</v>
      </c>
    </row>
    <row r="24" spans="1:18" x14ac:dyDescent="0.25">
      <c r="A24" s="2">
        <v>2029</v>
      </c>
      <c r="B24" s="2" t="s">
        <v>18</v>
      </c>
      <c r="C24" s="2">
        <v>11</v>
      </c>
      <c r="D24" s="2" t="s">
        <v>27</v>
      </c>
      <c r="E24" s="2">
        <v>800</v>
      </c>
      <c r="F24" s="2">
        <v>700</v>
      </c>
      <c r="G24" s="2">
        <v>2</v>
      </c>
      <c r="H24" s="2">
        <v>21</v>
      </c>
      <c r="I24" s="8">
        <v>0.93</v>
      </c>
      <c r="J24" s="8">
        <v>0.63</v>
      </c>
      <c r="K24" s="8">
        <v>0.94</v>
      </c>
      <c r="L24" s="8">
        <v>0.47</v>
      </c>
      <c r="M24" s="2">
        <v>9</v>
      </c>
      <c r="N24" s="2">
        <v>7</v>
      </c>
      <c r="O24" s="2">
        <v>5</v>
      </c>
      <c r="P24" s="2">
        <v>6</v>
      </c>
      <c r="Q24" s="2">
        <v>10</v>
      </c>
      <c r="R24" s="2">
        <v>30</v>
      </c>
    </row>
    <row r="25" spans="1:18" x14ac:dyDescent="0.25">
      <c r="A25" s="2">
        <v>2029</v>
      </c>
      <c r="B25" s="2" t="s">
        <v>19</v>
      </c>
      <c r="C25" s="2">
        <v>12</v>
      </c>
      <c r="D25" s="2" t="s">
        <v>27</v>
      </c>
      <c r="E25" s="2">
        <v>900</v>
      </c>
      <c r="F25" s="2">
        <v>600</v>
      </c>
      <c r="G25" s="2">
        <v>1</v>
      </c>
      <c r="H25" s="2">
        <v>2</v>
      </c>
      <c r="I25" s="8">
        <v>0.93</v>
      </c>
      <c r="J25" s="8">
        <v>0.82</v>
      </c>
      <c r="K25" s="8">
        <v>0.69</v>
      </c>
      <c r="L25" s="8">
        <v>0.79</v>
      </c>
      <c r="M25" s="2">
        <v>10</v>
      </c>
      <c r="N25" s="2">
        <v>10</v>
      </c>
      <c r="O25" s="2">
        <v>6</v>
      </c>
      <c r="P25" s="2">
        <v>10</v>
      </c>
      <c r="Q25" s="2">
        <v>7</v>
      </c>
      <c r="R25" s="2">
        <v>30</v>
      </c>
    </row>
    <row r="26" spans="1:18" x14ac:dyDescent="0.25">
      <c r="A26" s="2">
        <v>2030</v>
      </c>
      <c r="B26" s="2" t="s">
        <v>8</v>
      </c>
      <c r="C26" s="2">
        <v>1</v>
      </c>
      <c r="D26" s="2" t="s">
        <v>27</v>
      </c>
      <c r="E26" s="2">
        <v>850</v>
      </c>
      <c r="F26" s="2">
        <v>950</v>
      </c>
      <c r="G26" s="2">
        <v>40</v>
      </c>
      <c r="H26" s="2">
        <v>15</v>
      </c>
      <c r="I26" s="8">
        <v>0.45</v>
      </c>
      <c r="J26" s="8">
        <v>0.78</v>
      </c>
      <c r="K26" s="8">
        <v>0.59</v>
      </c>
      <c r="L26" s="8">
        <v>0.83</v>
      </c>
      <c r="M26" s="2">
        <v>7</v>
      </c>
      <c r="N26" s="2">
        <v>8</v>
      </c>
      <c r="O26" s="2">
        <v>9</v>
      </c>
      <c r="P26" s="2">
        <v>9</v>
      </c>
      <c r="Q26" s="2">
        <v>8</v>
      </c>
      <c r="R26" s="2">
        <v>25</v>
      </c>
    </row>
    <row r="27" spans="1:18" x14ac:dyDescent="0.25">
      <c r="A27" s="2">
        <v>2030</v>
      </c>
      <c r="B27" s="2" t="s">
        <v>9</v>
      </c>
      <c r="C27" s="2">
        <v>2</v>
      </c>
      <c r="D27" s="2" t="s">
        <v>27</v>
      </c>
      <c r="E27" s="2">
        <v>980</v>
      </c>
      <c r="F27" s="2">
        <v>1050</v>
      </c>
      <c r="G27" s="2">
        <v>35</v>
      </c>
      <c r="H27" s="2">
        <v>20</v>
      </c>
      <c r="I27" s="8">
        <v>0.52</v>
      </c>
      <c r="J27" s="8">
        <v>0.93</v>
      </c>
      <c r="K27" s="8">
        <v>0.89</v>
      </c>
      <c r="L27" s="8">
        <v>0.42</v>
      </c>
      <c r="M27" s="2">
        <v>6</v>
      </c>
      <c r="N27" s="2">
        <v>7</v>
      </c>
      <c r="O27" s="2">
        <v>8</v>
      </c>
      <c r="P27" s="2">
        <v>5</v>
      </c>
      <c r="Q27" s="2">
        <v>5</v>
      </c>
      <c r="R27" s="2">
        <v>25</v>
      </c>
    </row>
    <row r="28" spans="1:18" x14ac:dyDescent="0.25">
      <c r="A28" s="2">
        <v>2030</v>
      </c>
      <c r="B28" s="2" t="s">
        <v>10</v>
      </c>
      <c r="C28" s="2">
        <v>3</v>
      </c>
      <c r="D28" s="2" t="s">
        <v>27</v>
      </c>
      <c r="E28" s="2">
        <v>1100</v>
      </c>
      <c r="F28" s="2">
        <v>850</v>
      </c>
      <c r="G28" s="2">
        <v>30</v>
      </c>
      <c r="H28" s="2">
        <v>25</v>
      </c>
      <c r="I28" s="8">
        <v>0.62</v>
      </c>
      <c r="J28" s="8">
        <v>0.6</v>
      </c>
      <c r="K28" s="8">
        <v>0.9</v>
      </c>
      <c r="L28" s="8">
        <v>0.87</v>
      </c>
      <c r="M28" s="2">
        <v>9</v>
      </c>
      <c r="N28" s="2">
        <v>10</v>
      </c>
      <c r="O28" s="2">
        <v>8</v>
      </c>
      <c r="P28" s="2">
        <v>9</v>
      </c>
      <c r="Q28" s="2">
        <v>7</v>
      </c>
      <c r="R28" s="2">
        <v>25</v>
      </c>
    </row>
    <row r="29" spans="1:18" x14ac:dyDescent="0.25">
      <c r="A29" s="2">
        <v>2030</v>
      </c>
      <c r="B29" s="2" t="s">
        <v>11</v>
      </c>
      <c r="C29" s="2">
        <v>4</v>
      </c>
      <c r="D29" s="2" t="s">
        <v>27</v>
      </c>
      <c r="E29" s="2">
        <v>1220</v>
      </c>
      <c r="F29" s="2">
        <v>750</v>
      </c>
      <c r="G29" s="2">
        <v>25</v>
      </c>
      <c r="H29" s="2">
        <v>20</v>
      </c>
      <c r="I29" s="8">
        <v>0.72</v>
      </c>
      <c r="J29" s="8">
        <v>0.77</v>
      </c>
      <c r="K29" s="8">
        <v>0.83</v>
      </c>
      <c r="L29" s="8">
        <v>0.79</v>
      </c>
      <c r="M29" s="2">
        <v>9</v>
      </c>
      <c r="N29" s="2">
        <v>6</v>
      </c>
      <c r="O29" s="2">
        <v>9</v>
      </c>
      <c r="P29" s="2">
        <v>9</v>
      </c>
      <c r="Q29" s="2">
        <v>7</v>
      </c>
      <c r="R29" s="2">
        <v>25</v>
      </c>
    </row>
    <row r="30" spans="1:18" x14ac:dyDescent="0.25">
      <c r="A30" s="2">
        <v>2030</v>
      </c>
      <c r="B30" s="2" t="s">
        <v>12</v>
      </c>
      <c r="C30" s="2">
        <v>5</v>
      </c>
      <c r="D30" s="2" t="s">
        <v>27</v>
      </c>
      <c r="E30" s="2">
        <v>1350</v>
      </c>
      <c r="F30" s="2">
        <v>650</v>
      </c>
      <c r="G30" s="2">
        <v>25</v>
      </c>
      <c r="H30" s="2">
        <v>35</v>
      </c>
      <c r="I30" s="8">
        <v>0.68</v>
      </c>
      <c r="J30" s="8">
        <v>0.88</v>
      </c>
      <c r="K30" s="8">
        <v>0.48</v>
      </c>
      <c r="L30" s="8">
        <v>0.72</v>
      </c>
      <c r="M30" s="2">
        <v>6</v>
      </c>
      <c r="N30" s="2">
        <v>8</v>
      </c>
      <c r="O30" s="2">
        <v>5</v>
      </c>
      <c r="P30" s="2">
        <v>6</v>
      </c>
      <c r="Q30" s="2">
        <v>7</v>
      </c>
      <c r="R30" s="2">
        <v>25</v>
      </c>
    </row>
    <row r="31" spans="1:18" x14ac:dyDescent="0.25">
      <c r="A31" s="2">
        <v>2030</v>
      </c>
      <c r="B31" s="2" t="s">
        <v>13</v>
      </c>
      <c r="C31" s="2">
        <v>6</v>
      </c>
      <c r="D31" s="2" t="s">
        <v>27</v>
      </c>
      <c r="E31" s="2">
        <v>1260</v>
      </c>
      <c r="F31" s="2">
        <v>700</v>
      </c>
      <c r="G31" s="2">
        <v>20</v>
      </c>
      <c r="H31" s="2">
        <v>20</v>
      </c>
      <c r="I31" s="8">
        <v>0.64</v>
      </c>
      <c r="J31" s="8">
        <v>0.49</v>
      </c>
      <c r="K31" s="8">
        <v>0.64</v>
      </c>
      <c r="L31" s="8">
        <v>0.57999999999999996</v>
      </c>
      <c r="M31" s="2">
        <v>7</v>
      </c>
      <c r="N31" s="2">
        <v>7</v>
      </c>
      <c r="O31" s="2">
        <v>10</v>
      </c>
      <c r="P31" s="2">
        <v>5</v>
      </c>
      <c r="Q31" s="2">
        <v>7</v>
      </c>
      <c r="R31" s="2">
        <v>25</v>
      </c>
    </row>
    <row r="32" spans="1:18" x14ac:dyDescent="0.25">
      <c r="A32" s="2">
        <v>2030</v>
      </c>
      <c r="B32" s="2" t="s">
        <v>14</v>
      </c>
      <c r="C32" s="2">
        <v>7</v>
      </c>
      <c r="D32" s="2" t="s">
        <v>27</v>
      </c>
      <c r="E32" s="2">
        <v>1120</v>
      </c>
      <c r="F32" s="2">
        <v>800</v>
      </c>
      <c r="G32" s="2">
        <v>15</v>
      </c>
      <c r="H32" s="2">
        <v>5</v>
      </c>
      <c r="I32" s="8">
        <v>0.41</v>
      </c>
      <c r="J32" s="8">
        <v>0.47</v>
      </c>
      <c r="K32" s="8">
        <v>0.4</v>
      </c>
      <c r="L32" s="8">
        <v>0.55000000000000004</v>
      </c>
      <c r="M32" s="2">
        <v>6</v>
      </c>
      <c r="N32" s="2">
        <v>7</v>
      </c>
      <c r="O32" s="2">
        <v>5</v>
      </c>
      <c r="P32" s="2">
        <v>10</v>
      </c>
      <c r="Q32" s="2">
        <v>8</v>
      </c>
      <c r="R32" s="2">
        <v>25</v>
      </c>
    </row>
    <row r="33" spans="1:18" x14ac:dyDescent="0.25">
      <c r="A33" s="2">
        <v>2030</v>
      </c>
      <c r="B33" s="2" t="s">
        <v>15</v>
      </c>
      <c r="C33" s="2">
        <v>8</v>
      </c>
      <c r="D33" s="2" t="s">
        <v>27</v>
      </c>
      <c r="E33" s="2">
        <v>980</v>
      </c>
      <c r="F33" s="2">
        <v>980</v>
      </c>
      <c r="G33" s="2">
        <v>15</v>
      </c>
      <c r="H33" s="2">
        <v>10</v>
      </c>
      <c r="I33" s="8">
        <v>0.6</v>
      </c>
      <c r="J33" s="8">
        <v>0.44</v>
      </c>
      <c r="K33" s="8">
        <v>0.88</v>
      </c>
      <c r="L33" s="8">
        <v>0.76</v>
      </c>
      <c r="M33" s="2">
        <v>7</v>
      </c>
      <c r="N33" s="2">
        <v>10</v>
      </c>
      <c r="O33" s="2">
        <v>8</v>
      </c>
      <c r="P33" s="2">
        <v>9</v>
      </c>
      <c r="Q33" s="2">
        <v>10</v>
      </c>
      <c r="R33" s="2">
        <v>25</v>
      </c>
    </row>
    <row r="34" spans="1:18" x14ac:dyDescent="0.25">
      <c r="A34" s="2">
        <v>2030</v>
      </c>
      <c r="B34" s="2" t="s">
        <v>16</v>
      </c>
      <c r="C34" s="2">
        <v>9</v>
      </c>
      <c r="D34" s="2" t="s">
        <v>27</v>
      </c>
      <c r="E34" s="2">
        <v>860</v>
      </c>
      <c r="F34" s="2">
        <v>1000</v>
      </c>
      <c r="G34" s="2">
        <v>10</v>
      </c>
      <c r="H34" s="2">
        <v>20</v>
      </c>
      <c r="I34" s="8">
        <v>0.66</v>
      </c>
      <c r="J34" s="8">
        <v>0.88</v>
      </c>
      <c r="K34" s="8">
        <v>0.94</v>
      </c>
      <c r="L34" s="8">
        <v>0.51</v>
      </c>
      <c r="M34" s="2">
        <v>6</v>
      </c>
      <c r="N34" s="2">
        <v>5</v>
      </c>
      <c r="O34" s="2">
        <v>8</v>
      </c>
      <c r="P34" s="2">
        <v>6</v>
      </c>
      <c r="Q34" s="2">
        <v>6</v>
      </c>
      <c r="R34" s="2">
        <v>25</v>
      </c>
    </row>
    <row r="35" spans="1:18" x14ac:dyDescent="0.25">
      <c r="A35" s="2">
        <v>2030</v>
      </c>
      <c r="B35" s="2" t="s">
        <v>17</v>
      </c>
      <c r="C35" s="2">
        <v>10</v>
      </c>
      <c r="D35" s="2" t="s">
        <v>27</v>
      </c>
      <c r="E35" s="2">
        <v>800</v>
      </c>
      <c r="F35" s="2">
        <v>880</v>
      </c>
      <c r="G35" s="2">
        <v>10</v>
      </c>
      <c r="H35" s="2">
        <v>30</v>
      </c>
      <c r="I35" s="8">
        <v>0.79</v>
      </c>
      <c r="J35" s="8">
        <v>0.64</v>
      </c>
      <c r="K35" s="8">
        <v>0.72</v>
      </c>
      <c r="L35" s="8">
        <v>1</v>
      </c>
      <c r="M35" s="2">
        <v>7</v>
      </c>
      <c r="N35" s="2">
        <v>8</v>
      </c>
      <c r="O35" s="2">
        <v>5</v>
      </c>
      <c r="P35" s="2">
        <v>9</v>
      </c>
      <c r="Q35" s="2">
        <v>10</v>
      </c>
      <c r="R35" s="2">
        <v>25</v>
      </c>
    </row>
    <row r="36" spans="1:18" x14ac:dyDescent="0.25">
      <c r="A36" s="2">
        <v>2030</v>
      </c>
      <c r="B36" s="2" t="s">
        <v>18</v>
      </c>
      <c r="C36" s="2">
        <v>11</v>
      </c>
      <c r="D36" s="2" t="s">
        <v>27</v>
      </c>
      <c r="E36" s="2">
        <v>920</v>
      </c>
      <c r="F36" s="2">
        <v>720</v>
      </c>
      <c r="G36" s="2">
        <v>10</v>
      </c>
      <c r="H36" s="2">
        <v>25</v>
      </c>
      <c r="I36" s="8">
        <v>0.65</v>
      </c>
      <c r="J36" s="8">
        <v>0.83</v>
      </c>
      <c r="K36" s="8">
        <v>1</v>
      </c>
      <c r="L36" s="8">
        <v>0.86</v>
      </c>
      <c r="M36" s="2">
        <v>7</v>
      </c>
      <c r="N36" s="2">
        <v>6</v>
      </c>
      <c r="O36" s="2">
        <v>10</v>
      </c>
      <c r="P36" s="2">
        <v>9</v>
      </c>
      <c r="Q36" s="2">
        <v>5</v>
      </c>
      <c r="R36" s="2">
        <v>25</v>
      </c>
    </row>
    <row r="37" spans="1:18" x14ac:dyDescent="0.25">
      <c r="A37" s="2">
        <v>2030</v>
      </c>
      <c r="B37" s="2" t="s">
        <v>19</v>
      </c>
      <c r="C37" s="2">
        <v>12</v>
      </c>
      <c r="D37" s="2" t="s">
        <v>27</v>
      </c>
      <c r="E37" s="2">
        <v>1020</v>
      </c>
      <c r="F37" s="2">
        <v>640</v>
      </c>
      <c r="G37" s="2">
        <v>5</v>
      </c>
      <c r="H37" s="2">
        <v>25</v>
      </c>
      <c r="I37" s="8">
        <v>0.72</v>
      </c>
      <c r="J37" s="8">
        <v>0.4</v>
      </c>
      <c r="K37" s="8">
        <v>0.42</v>
      </c>
      <c r="L37" s="8">
        <v>0.87</v>
      </c>
      <c r="M37" s="2">
        <v>5</v>
      </c>
      <c r="N37" s="2">
        <v>6</v>
      </c>
      <c r="O37" s="2">
        <v>9</v>
      </c>
      <c r="P37" s="2">
        <v>6</v>
      </c>
      <c r="Q37" s="2">
        <v>8</v>
      </c>
      <c r="R37" s="2">
        <v>25</v>
      </c>
    </row>
    <row r="38" spans="1:18" x14ac:dyDescent="0.25">
      <c r="A38" s="2">
        <v>2028</v>
      </c>
      <c r="B38" s="2" t="s">
        <v>8</v>
      </c>
      <c r="C38" s="2">
        <v>1</v>
      </c>
      <c r="D38" s="2" t="s">
        <v>28</v>
      </c>
      <c r="E38" s="2">
        <v>700</v>
      </c>
      <c r="F38" s="2">
        <v>850</v>
      </c>
      <c r="G38" s="2">
        <v>60</v>
      </c>
      <c r="H38" s="2">
        <v>0</v>
      </c>
      <c r="I38" s="8">
        <v>0.56999999999999995</v>
      </c>
      <c r="J38" s="8">
        <v>0.55000000000000004</v>
      </c>
      <c r="K38" s="8">
        <v>0.43</v>
      </c>
      <c r="L38" s="8">
        <v>0.85</v>
      </c>
      <c r="M38" s="2">
        <v>9</v>
      </c>
      <c r="N38" s="2">
        <v>8</v>
      </c>
      <c r="O38" s="2">
        <v>5</v>
      </c>
      <c r="P38" s="2">
        <v>6</v>
      </c>
      <c r="Q38" s="2">
        <v>10</v>
      </c>
      <c r="R38" s="2">
        <v>45</v>
      </c>
    </row>
    <row r="39" spans="1:18" x14ac:dyDescent="0.25">
      <c r="A39" s="2">
        <v>2028</v>
      </c>
      <c r="B39" s="2" t="s">
        <v>9</v>
      </c>
      <c r="C39" s="2">
        <v>2</v>
      </c>
      <c r="D39" s="2" t="s">
        <v>28</v>
      </c>
      <c r="E39" s="2">
        <v>820</v>
      </c>
      <c r="F39" s="2">
        <v>950</v>
      </c>
      <c r="G39" s="2">
        <v>55</v>
      </c>
      <c r="H39" s="2">
        <v>5</v>
      </c>
      <c r="I39" s="8">
        <v>0.92</v>
      </c>
      <c r="J39" s="8">
        <v>0.93</v>
      </c>
      <c r="K39" s="8">
        <v>0.54</v>
      </c>
      <c r="L39" s="8">
        <v>0.59</v>
      </c>
      <c r="M39" s="2">
        <v>6</v>
      </c>
      <c r="N39" s="2">
        <v>6</v>
      </c>
      <c r="O39" s="2">
        <v>7</v>
      </c>
      <c r="P39" s="2">
        <v>10</v>
      </c>
      <c r="Q39" s="2">
        <v>8</v>
      </c>
      <c r="R39" s="2">
        <v>45</v>
      </c>
    </row>
    <row r="40" spans="1:18" x14ac:dyDescent="0.25">
      <c r="A40" s="2">
        <v>2028</v>
      </c>
      <c r="B40" s="2" t="s">
        <v>10</v>
      </c>
      <c r="C40" s="2">
        <v>3</v>
      </c>
      <c r="D40" s="2" t="s">
        <v>28</v>
      </c>
      <c r="E40" s="2">
        <v>950</v>
      </c>
      <c r="F40" s="2">
        <v>750</v>
      </c>
      <c r="G40" s="2">
        <v>50</v>
      </c>
      <c r="H40" s="2">
        <v>8</v>
      </c>
      <c r="I40" s="8">
        <v>0.98</v>
      </c>
      <c r="J40" s="8">
        <v>0.75</v>
      </c>
      <c r="K40" s="8">
        <v>0.61</v>
      </c>
      <c r="L40" s="8">
        <v>0.43</v>
      </c>
      <c r="M40" s="2">
        <v>6</v>
      </c>
      <c r="N40" s="2">
        <v>9</v>
      </c>
      <c r="O40" s="2">
        <v>5</v>
      </c>
      <c r="P40" s="2">
        <v>9</v>
      </c>
      <c r="Q40" s="2">
        <v>8</v>
      </c>
      <c r="R40" s="2">
        <v>45</v>
      </c>
    </row>
    <row r="41" spans="1:18" x14ac:dyDescent="0.25">
      <c r="A41" s="2">
        <v>2028</v>
      </c>
      <c r="B41" s="2" t="s">
        <v>11</v>
      </c>
      <c r="C41" s="2">
        <v>4</v>
      </c>
      <c r="D41" s="2" t="s">
        <v>28</v>
      </c>
      <c r="E41" s="2">
        <v>1080</v>
      </c>
      <c r="F41" s="2">
        <v>650</v>
      </c>
      <c r="G41" s="2">
        <v>45</v>
      </c>
      <c r="H41" s="2">
        <v>10</v>
      </c>
      <c r="I41" s="8">
        <v>0.47</v>
      </c>
      <c r="J41" s="8">
        <v>0.65</v>
      </c>
      <c r="K41" s="8">
        <v>0.52</v>
      </c>
      <c r="L41" s="8">
        <v>0.89</v>
      </c>
      <c r="M41" s="2">
        <v>6</v>
      </c>
      <c r="N41" s="2">
        <v>10</v>
      </c>
      <c r="O41" s="2">
        <v>8</v>
      </c>
      <c r="P41" s="2">
        <v>8</v>
      </c>
      <c r="Q41" s="2">
        <v>7</v>
      </c>
      <c r="R41" s="2">
        <v>45</v>
      </c>
    </row>
    <row r="42" spans="1:18" x14ac:dyDescent="0.25">
      <c r="A42" s="2">
        <v>2028</v>
      </c>
      <c r="B42" s="2" t="s">
        <v>12</v>
      </c>
      <c r="C42" s="2">
        <v>5</v>
      </c>
      <c r="D42" s="2" t="s">
        <v>28</v>
      </c>
      <c r="E42" s="2">
        <v>1200</v>
      </c>
      <c r="F42" s="2">
        <v>500</v>
      </c>
      <c r="G42" s="2">
        <v>40</v>
      </c>
      <c r="H42" s="2">
        <v>20</v>
      </c>
      <c r="I42" s="8">
        <v>0.54</v>
      </c>
      <c r="J42" s="8">
        <v>0.88</v>
      </c>
      <c r="K42" s="8">
        <v>0.75</v>
      </c>
      <c r="L42" s="8">
        <v>0.52</v>
      </c>
      <c r="M42" s="2">
        <v>6</v>
      </c>
      <c r="N42" s="2">
        <v>6</v>
      </c>
      <c r="O42" s="2">
        <v>9</v>
      </c>
      <c r="P42" s="2">
        <v>9</v>
      </c>
      <c r="Q42" s="2">
        <v>9</v>
      </c>
      <c r="R42" s="2">
        <v>45</v>
      </c>
    </row>
    <row r="43" spans="1:18" x14ac:dyDescent="0.25">
      <c r="A43" s="2">
        <v>2028</v>
      </c>
      <c r="B43" s="2" t="s">
        <v>13</v>
      </c>
      <c r="C43" s="2">
        <v>6</v>
      </c>
      <c r="D43" s="2" t="s">
        <v>28</v>
      </c>
      <c r="E43" s="2">
        <v>1120</v>
      </c>
      <c r="F43" s="2">
        <v>550</v>
      </c>
      <c r="G43" s="2">
        <v>35</v>
      </c>
      <c r="H43" s="2">
        <v>30</v>
      </c>
      <c r="I43" s="8">
        <v>0.91</v>
      </c>
      <c r="J43" s="8">
        <v>0.49</v>
      </c>
      <c r="K43" s="8">
        <v>0.48</v>
      </c>
      <c r="L43" s="8">
        <v>0.65</v>
      </c>
      <c r="M43" s="2">
        <v>9</v>
      </c>
      <c r="N43" s="2">
        <v>9</v>
      </c>
      <c r="O43" s="2">
        <v>9</v>
      </c>
      <c r="P43" s="2">
        <v>5</v>
      </c>
      <c r="Q43" s="2">
        <v>9</v>
      </c>
      <c r="R43" s="2">
        <v>45</v>
      </c>
    </row>
    <row r="44" spans="1:18" x14ac:dyDescent="0.25">
      <c r="A44" s="2">
        <v>2028</v>
      </c>
      <c r="B44" s="2" t="s">
        <v>14</v>
      </c>
      <c r="C44" s="2">
        <v>7</v>
      </c>
      <c r="D44" s="2" t="s">
        <v>28</v>
      </c>
      <c r="E44" s="2">
        <v>980</v>
      </c>
      <c r="F44" s="2">
        <v>700</v>
      </c>
      <c r="G44" s="2">
        <v>25</v>
      </c>
      <c r="H44" s="2">
        <v>40</v>
      </c>
      <c r="I44" s="8">
        <v>0.6</v>
      </c>
      <c r="J44" s="8">
        <v>0.86</v>
      </c>
      <c r="K44" s="8">
        <v>0.84</v>
      </c>
      <c r="L44" s="8">
        <v>0.49</v>
      </c>
      <c r="M44" s="2">
        <v>10</v>
      </c>
      <c r="N44" s="2">
        <v>8</v>
      </c>
      <c r="O44" s="2">
        <v>6</v>
      </c>
      <c r="P44" s="2">
        <v>6</v>
      </c>
      <c r="Q44" s="2">
        <v>10</v>
      </c>
      <c r="R44" s="2">
        <v>45</v>
      </c>
    </row>
    <row r="45" spans="1:18" x14ac:dyDescent="0.25">
      <c r="A45" s="2">
        <v>2028</v>
      </c>
      <c r="B45" s="2" t="s">
        <v>15</v>
      </c>
      <c r="C45" s="2">
        <v>8</v>
      </c>
      <c r="D45" s="2" t="s">
        <v>28</v>
      </c>
      <c r="E45" s="2">
        <v>850</v>
      </c>
      <c r="F45" s="2">
        <v>880</v>
      </c>
      <c r="G45" s="2">
        <v>15</v>
      </c>
      <c r="H45" s="2">
        <v>60</v>
      </c>
      <c r="I45" s="8">
        <v>0.68</v>
      </c>
      <c r="J45" s="8">
        <v>0.85</v>
      </c>
      <c r="K45" s="8">
        <v>0.75</v>
      </c>
      <c r="L45" s="8">
        <v>0.43</v>
      </c>
      <c r="M45" s="2">
        <v>6</v>
      </c>
      <c r="N45" s="2">
        <v>8</v>
      </c>
      <c r="O45" s="2">
        <v>10</v>
      </c>
      <c r="P45" s="2">
        <v>8</v>
      </c>
      <c r="Q45" s="2">
        <v>7</v>
      </c>
      <c r="R45" s="2">
        <v>45</v>
      </c>
    </row>
    <row r="46" spans="1:18" x14ac:dyDescent="0.25">
      <c r="A46" s="2">
        <v>2028</v>
      </c>
      <c r="B46" s="2" t="s">
        <v>16</v>
      </c>
      <c r="C46" s="2">
        <v>9</v>
      </c>
      <c r="D46" s="2" t="s">
        <v>28</v>
      </c>
      <c r="E46" s="2">
        <v>720</v>
      </c>
      <c r="F46" s="2">
        <v>920</v>
      </c>
      <c r="G46" s="2">
        <v>10</v>
      </c>
      <c r="H46" s="2">
        <v>100</v>
      </c>
      <c r="I46" s="8">
        <v>0.83</v>
      </c>
      <c r="J46" s="8">
        <v>0.93</v>
      </c>
      <c r="K46" s="8">
        <v>0.91</v>
      </c>
      <c r="L46" s="8">
        <v>0.51</v>
      </c>
      <c r="M46" s="2">
        <v>10</v>
      </c>
      <c r="N46" s="2">
        <v>6</v>
      </c>
      <c r="O46" s="2">
        <v>8</v>
      </c>
      <c r="P46" s="2">
        <v>10</v>
      </c>
      <c r="Q46" s="2">
        <v>8</v>
      </c>
      <c r="R46" s="2">
        <v>45</v>
      </c>
    </row>
    <row r="47" spans="1:18" x14ac:dyDescent="0.25">
      <c r="A47" s="2">
        <v>2028</v>
      </c>
      <c r="B47" s="2" t="s">
        <v>17</v>
      </c>
      <c r="C47" s="2">
        <v>10</v>
      </c>
      <c r="D47" s="2" t="s">
        <v>28</v>
      </c>
      <c r="E47" s="2">
        <v>680</v>
      </c>
      <c r="F47" s="2">
        <v>780</v>
      </c>
      <c r="G47" s="2">
        <v>5</v>
      </c>
      <c r="H47" s="2">
        <v>50</v>
      </c>
      <c r="I47" s="8">
        <v>0.71</v>
      </c>
      <c r="J47" s="8">
        <v>0.83</v>
      </c>
      <c r="K47" s="8">
        <v>0.83</v>
      </c>
      <c r="L47" s="8">
        <v>0.72</v>
      </c>
      <c r="M47" s="2">
        <v>8</v>
      </c>
      <c r="N47" s="2">
        <v>5</v>
      </c>
      <c r="O47" s="2">
        <v>9</v>
      </c>
      <c r="P47" s="2">
        <v>5</v>
      </c>
      <c r="Q47" s="2">
        <v>7</v>
      </c>
      <c r="R47" s="2">
        <v>45</v>
      </c>
    </row>
    <row r="48" spans="1:18" x14ac:dyDescent="0.25">
      <c r="A48" s="2">
        <v>2028</v>
      </c>
      <c r="B48" s="2" t="s">
        <v>18</v>
      </c>
      <c r="C48" s="2">
        <v>11</v>
      </c>
      <c r="D48" s="2" t="s">
        <v>28</v>
      </c>
      <c r="E48" s="2">
        <v>800</v>
      </c>
      <c r="F48" s="2">
        <v>650</v>
      </c>
      <c r="G48" s="2">
        <v>5</v>
      </c>
      <c r="H48" s="2">
        <v>10</v>
      </c>
      <c r="I48" s="8">
        <v>0.92</v>
      </c>
      <c r="J48" s="8">
        <v>0.7</v>
      </c>
      <c r="K48" s="8">
        <v>0.77</v>
      </c>
      <c r="L48" s="8">
        <v>0.68</v>
      </c>
      <c r="M48" s="2">
        <v>7</v>
      </c>
      <c r="N48" s="2">
        <v>8</v>
      </c>
      <c r="O48" s="2">
        <v>9</v>
      </c>
      <c r="P48" s="2">
        <v>8</v>
      </c>
      <c r="Q48" s="2">
        <v>9</v>
      </c>
      <c r="R48" s="2">
        <v>45</v>
      </c>
    </row>
    <row r="49" spans="1:18" x14ac:dyDescent="0.25">
      <c r="A49" s="2">
        <v>2028</v>
      </c>
      <c r="B49" s="2" t="s">
        <v>19</v>
      </c>
      <c r="C49" s="2">
        <v>12</v>
      </c>
      <c r="D49" s="2" t="s">
        <v>28</v>
      </c>
      <c r="E49" s="2">
        <v>920</v>
      </c>
      <c r="F49" s="2">
        <v>550</v>
      </c>
      <c r="G49" s="2">
        <v>0</v>
      </c>
      <c r="H49" s="2">
        <v>12</v>
      </c>
      <c r="I49" s="8">
        <v>0.99</v>
      </c>
      <c r="J49" s="8">
        <v>0.66</v>
      </c>
      <c r="K49" s="8">
        <v>1</v>
      </c>
      <c r="L49" s="8">
        <v>0.42</v>
      </c>
      <c r="M49" s="2">
        <v>6</v>
      </c>
      <c r="N49" s="2">
        <v>5</v>
      </c>
      <c r="O49" s="2">
        <v>5</v>
      </c>
      <c r="P49" s="2">
        <v>9</v>
      </c>
      <c r="Q49" s="2">
        <v>10</v>
      </c>
      <c r="R49" s="2">
        <v>45</v>
      </c>
    </row>
    <row r="50" spans="1:18" x14ac:dyDescent="0.25">
      <c r="A50" s="2">
        <v>2029</v>
      </c>
      <c r="B50" s="2" t="s">
        <v>8</v>
      </c>
      <c r="C50" s="2">
        <v>1</v>
      </c>
      <c r="D50" s="2" t="s">
        <v>28</v>
      </c>
      <c r="E50" s="2">
        <v>500</v>
      </c>
      <c r="F50" s="2">
        <v>400</v>
      </c>
      <c r="G50" s="2">
        <v>50</v>
      </c>
      <c r="H50" s="2">
        <v>3</v>
      </c>
      <c r="I50" s="8">
        <v>0.54</v>
      </c>
      <c r="J50" s="8">
        <v>0.69</v>
      </c>
      <c r="K50" s="8">
        <v>0.46</v>
      </c>
      <c r="L50" s="8">
        <v>0.71</v>
      </c>
      <c r="M50" s="2">
        <v>8</v>
      </c>
      <c r="N50" s="2">
        <v>10</v>
      </c>
      <c r="O50" s="2">
        <v>9</v>
      </c>
      <c r="P50" s="2">
        <v>7</v>
      </c>
      <c r="Q50" s="2">
        <v>6</v>
      </c>
      <c r="R50" s="2">
        <v>35</v>
      </c>
    </row>
    <row r="51" spans="1:18" x14ac:dyDescent="0.25">
      <c r="A51" s="2">
        <v>2029</v>
      </c>
      <c r="B51" s="2" t="s">
        <v>9</v>
      </c>
      <c r="C51" s="2">
        <v>2</v>
      </c>
      <c r="D51" s="2" t="s">
        <v>28</v>
      </c>
      <c r="E51" s="2">
        <v>400</v>
      </c>
      <c r="F51" s="2">
        <v>500</v>
      </c>
      <c r="G51" s="2">
        <v>45</v>
      </c>
      <c r="H51" s="2">
        <v>10</v>
      </c>
      <c r="I51" s="8">
        <v>0.49</v>
      </c>
      <c r="J51" s="8">
        <v>0.62</v>
      </c>
      <c r="K51" s="8">
        <v>0.88</v>
      </c>
      <c r="L51" s="8">
        <v>0.61</v>
      </c>
      <c r="M51" s="2">
        <v>9</v>
      </c>
      <c r="N51" s="2">
        <v>8</v>
      </c>
      <c r="O51" s="2">
        <v>7</v>
      </c>
      <c r="P51" s="2">
        <v>5</v>
      </c>
      <c r="Q51" s="2">
        <v>10</v>
      </c>
      <c r="R51" s="2">
        <v>35</v>
      </c>
    </row>
    <row r="52" spans="1:18" x14ac:dyDescent="0.25">
      <c r="A52" s="2">
        <v>2029</v>
      </c>
      <c r="B52" s="2" t="s">
        <v>10</v>
      </c>
      <c r="C52" s="2">
        <v>3</v>
      </c>
      <c r="D52" s="2" t="s">
        <v>28</v>
      </c>
      <c r="E52" s="2">
        <v>520</v>
      </c>
      <c r="F52" s="2">
        <v>380</v>
      </c>
      <c r="G52" s="2">
        <v>40</v>
      </c>
      <c r="H52" s="2">
        <v>15</v>
      </c>
      <c r="I52" s="8">
        <v>0.97</v>
      </c>
      <c r="J52" s="8">
        <v>1</v>
      </c>
      <c r="K52" s="8">
        <v>0.93</v>
      </c>
      <c r="L52" s="8">
        <v>0.7</v>
      </c>
      <c r="M52" s="2">
        <v>10</v>
      </c>
      <c r="N52" s="2">
        <v>8</v>
      </c>
      <c r="O52" s="2">
        <v>5</v>
      </c>
      <c r="P52" s="2">
        <v>5</v>
      </c>
      <c r="Q52" s="2">
        <v>6</v>
      </c>
      <c r="R52" s="2">
        <v>35</v>
      </c>
    </row>
    <row r="53" spans="1:18" x14ac:dyDescent="0.25">
      <c r="A53" s="2">
        <v>2029</v>
      </c>
      <c r="B53" s="2" t="s">
        <v>11</v>
      </c>
      <c r="C53" s="2">
        <v>4</v>
      </c>
      <c r="D53" s="2" t="s">
        <v>28</v>
      </c>
      <c r="E53" s="2">
        <v>450</v>
      </c>
      <c r="F53" s="2">
        <v>550</v>
      </c>
      <c r="G53" s="2">
        <v>35</v>
      </c>
      <c r="H53" s="2">
        <v>25</v>
      </c>
      <c r="I53" s="8">
        <v>0.77</v>
      </c>
      <c r="J53" s="8">
        <v>0.45</v>
      </c>
      <c r="K53" s="8">
        <v>0.47</v>
      </c>
      <c r="L53" s="8">
        <v>0.54</v>
      </c>
      <c r="M53" s="2">
        <v>10</v>
      </c>
      <c r="N53" s="2">
        <v>9</v>
      </c>
      <c r="O53" s="2">
        <v>6</v>
      </c>
      <c r="P53" s="2">
        <v>10</v>
      </c>
      <c r="Q53" s="2">
        <v>7</v>
      </c>
      <c r="R53" s="2">
        <v>35</v>
      </c>
    </row>
    <row r="54" spans="1:18" x14ac:dyDescent="0.25">
      <c r="A54" s="2">
        <v>2029</v>
      </c>
      <c r="B54" s="2" t="s">
        <v>12</v>
      </c>
      <c r="C54" s="2">
        <v>5</v>
      </c>
      <c r="D54" s="2" t="s">
        <v>28</v>
      </c>
      <c r="E54" s="2">
        <v>600</v>
      </c>
      <c r="F54" s="2">
        <v>480</v>
      </c>
      <c r="G54" s="2">
        <v>30</v>
      </c>
      <c r="H54" s="2">
        <v>30</v>
      </c>
      <c r="I54" s="8">
        <v>0.74</v>
      </c>
      <c r="J54" s="8">
        <v>0.52</v>
      </c>
      <c r="K54" s="8">
        <v>0.66</v>
      </c>
      <c r="L54" s="8">
        <v>0.56999999999999995</v>
      </c>
      <c r="M54" s="2">
        <v>5</v>
      </c>
      <c r="N54" s="2">
        <v>5</v>
      </c>
      <c r="O54" s="2">
        <v>8</v>
      </c>
      <c r="P54" s="2">
        <v>5</v>
      </c>
      <c r="Q54" s="2">
        <v>6</v>
      </c>
      <c r="R54" s="2">
        <v>35</v>
      </c>
    </row>
    <row r="55" spans="1:18" x14ac:dyDescent="0.25">
      <c r="A55" s="2">
        <v>2029</v>
      </c>
      <c r="B55" s="2" t="s">
        <v>13</v>
      </c>
      <c r="C55" s="2">
        <v>6</v>
      </c>
      <c r="D55" s="2" t="s">
        <v>28</v>
      </c>
      <c r="E55" s="2">
        <v>550</v>
      </c>
      <c r="F55" s="2">
        <v>650</v>
      </c>
      <c r="G55" s="2">
        <v>30</v>
      </c>
      <c r="H55" s="2">
        <v>30</v>
      </c>
      <c r="I55" s="8">
        <v>0.84</v>
      </c>
      <c r="J55" s="8">
        <v>0.83</v>
      </c>
      <c r="K55" s="8">
        <v>0.72</v>
      </c>
      <c r="L55" s="8">
        <v>0.77</v>
      </c>
      <c r="M55" s="2">
        <v>8</v>
      </c>
      <c r="N55" s="2">
        <v>5</v>
      </c>
      <c r="O55" s="2">
        <v>6</v>
      </c>
      <c r="P55" s="2">
        <v>9</v>
      </c>
      <c r="Q55" s="2">
        <v>10</v>
      </c>
      <c r="R55" s="2">
        <v>35</v>
      </c>
    </row>
    <row r="56" spans="1:18" x14ac:dyDescent="0.25">
      <c r="A56" s="2">
        <v>2029</v>
      </c>
      <c r="B56" s="2" t="s">
        <v>14</v>
      </c>
      <c r="C56" s="2">
        <v>7</v>
      </c>
      <c r="D56" s="2" t="s">
        <v>28</v>
      </c>
      <c r="E56" s="2">
        <v>700</v>
      </c>
      <c r="F56" s="2">
        <v>600</v>
      </c>
      <c r="G56" s="2">
        <v>25</v>
      </c>
      <c r="H56" s="2">
        <v>30</v>
      </c>
      <c r="I56" s="8">
        <v>0.79</v>
      </c>
      <c r="J56" s="8">
        <v>0.95</v>
      </c>
      <c r="K56" s="8">
        <v>0.89</v>
      </c>
      <c r="L56" s="8">
        <v>0.43</v>
      </c>
      <c r="M56" s="2">
        <v>5</v>
      </c>
      <c r="N56" s="2">
        <v>9</v>
      </c>
      <c r="O56" s="2">
        <v>6</v>
      </c>
      <c r="P56" s="2">
        <v>8</v>
      </c>
      <c r="Q56" s="2">
        <v>10</v>
      </c>
      <c r="R56" s="2">
        <v>35</v>
      </c>
    </row>
    <row r="57" spans="1:18" x14ac:dyDescent="0.25">
      <c r="A57" s="2">
        <v>2029</v>
      </c>
      <c r="B57" s="2" t="s">
        <v>15</v>
      </c>
      <c r="C57" s="2">
        <v>8</v>
      </c>
      <c r="D57" s="2" t="s">
        <v>28</v>
      </c>
      <c r="E57" s="2">
        <v>620</v>
      </c>
      <c r="F57" s="2">
        <v>720</v>
      </c>
      <c r="G57" s="2">
        <v>30</v>
      </c>
      <c r="H57" s="2">
        <v>35</v>
      </c>
      <c r="I57" s="8">
        <v>0.53</v>
      </c>
      <c r="J57" s="8">
        <v>0.82</v>
      </c>
      <c r="K57" s="8">
        <v>0.61</v>
      </c>
      <c r="L57" s="8">
        <v>0.56000000000000005</v>
      </c>
      <c r="M57" s="2">
        <v>10</v>
      </c>
      <c r="N57" s="2">
        <v>10</v>
      </c>
      <c r="O57" s="2">
        <v>8</v>
      </c>
      <c r="P57" s="2">
        <v>5</v>
      </c>
      <c r="Q57" s="2">
        <v>10</v>
      </c>
      <c r="R57" s="2">
        <v>35</v>
      </c>
    </row>
    <row r="58" spans="1:18" x14ac:dyDescent="0.25">
      <c r="A58" s="2">
        <v>2029</v>
      </c>
      <c r="B58" s="2" t="s">
        <v>16</v>
      </c>
      <c r="C58" s="2">
        <v>9</v>
      </c>
      <c r="D58" s="2" t="s">
        <v>28</v>
      </c>
      <c r="E58" s="2">
        <v>750</v>
      </c>
      <c r="F58" s="2">
        <v>680</v>
      </c>
      <c r="G58" s="2">
        <v>20</v>
      </c>
      <c r="H58" s="2">
        <v>35</v>
      </c>
      <c r="I58" s="8">
        <v>0.75</v>
      </c>
      <c r="J58" s="8">
        <v>0.59</v>
      </c>
      <c r="K58" s="8">
        <v>0.8</v>
      </c>
      <c r="L58" s="8">
        <v>0.6</v>
      </c>
      <c r="M58" s="2">
        <v>8</v>
      </c>
      <c r="N58" s="2">
        <v>6</v>
      </c>
      <c r="O58" s="2">
        <v>7</v>
      </c>
      <c r="P58" s="2">
        <v>6</v>
      </c>
      <c r="Q58" s="2">
        <v>6</v>
      </c>
      <c r="R58" s="2">
        <v>35</v>
      </c>
    </row>
    <row r="59" spans="1:18" x14ac:dyDescent="0.25">
      <c r="A59" s="2">
        <v>2029</v>
      </c>
      <c r="B59" s="2" t="s">
        <v>17</v>
      </c>
      <c r="C59" s="2">
        <v>10</v>
      </c>
      <c r="D59" s="2" t="s">
        <v>28</v>
      </c>
      <c r="E59" s="2">
        <v>680</v>
      </c>
      <c r="F59" s="2">
        <v>800</v>
      </c>
      <c r="G59" s="2">
        <v>15</v>
      </c>
      <c r="H59" s="2">
        <v>37</v>
      </c>
      <c r="I59" s="8">
        <v>0.78</v>
      </c>
      <c r="J59" s="8">
        <v>0.5</v>
      </c>
      <c r="K59" s="8">
        <v>0.75</v>
      </c>
      <c r="L59" s="8">
        <v>0.4</v>
      </c>
      <c r="M59" s="2">
        <v>7</v>
      </c>
      <c r="N59" s="2">
        <v>5</v>
      </c>
      <c r="O59" s="2">
        <v>9</v>
      </c>
      <c r="P59" s="2">
        <v>10</v>
      </c>
      <c r="Q59" s="2">
        <v>6</v>
      </c>
      <c r="R59" s="2">
        <v>35</v>
      </c>
    </row>
    <row r="60" spans="1:18" x14ac:dyDescent="0.25">
      <c r="A60" s="2">
        <v>2029</v>
      </c>
      <c r="B60" s="2" t="s">
        <v>18</v>
      </c>
      <c r="C60" s="2">
        <v>11</v>
      </c>
      <c r="D60" s="2" t="s">
        <v>28</v>
      </c>
      <c r="E60" s="2">
        <v>820</v>
      </c>
      <c r="F60" s="2">
        <v>700</v>
      </c>
      <c r="G60" s="2">
        <v>15</v>
      </c>
      <c r="H60" s="2">
        <v>40</v>
      </c>
      <c r="I60" s="8">
        <v>0.41</v>
      </c>
      <c r="J60" s="8">
        <v>0.63</v>
      </c>
      <c r="K60" s="8">
        <v>0.89</v>
      </c>
      <c r="L60" s="8">
        <v>0.86</v>
      </c>
      <c r="M60" s="2">
        <v>5</v>
      </c>
      <c r="N60" s="2">
        <v>7</v>
      </c>
      <c r="O60" s="2">
        <v>10</v>
      </c>
      <c r="P60" s="2">
        <v>5</v>
      </c>
      <c r="Q60" s="2">
        <v>9</v>
      </c>
      <c r="R60" s="2">
        <v>35</v>
      </c>
    </row>
    <row r="61" spans="1:18" x14ac:dyDescent="0.25">
      <c r="A61" s="2">
        <v>2029</v>
      </c>
      <c r="B61" s="2" t="s">
        <v>19</v>
      </c>
      <c r="C61" s="2">
        <v>12</v>
      </c>
      <c r="D61" s="2" t="s">
        <v>28</v>
      </c>
      <c r="E61" s="2">
        <v>740</v>
      </c>
      <c r="F61" s="2">
        <v>780</v>
      </c>
      <c r="G61" s="2">
        <v>10</v>
      </c>
      <c r="H61" s="2">
        <v>45</v>
      </c>
      <c r="I61" s="8">
        <v>0.42</v>
      </c>
      <c r="J61" s="8">
        <v>0.92</v>
      </c>
      <c r="K61" s="8">
        <v>0.62</v>
      </c>
      <c r="L61" s="8">
        <v>0.81</v>
      </c>
      <c r="M61" s="2">
        <v>10</v>
      </c>
      <c r="N61" s="2">
        <v>10</v>
      </c>
      <c r="O61" s="2">
        <v>8</v>
      </c>
      <c r="P61" s="2">
        <v>8</v>
      </c>
      <c r="Q61" s="2">
        <v>5</v>
      </c>
      <c r="R61" s="2">
        <v>35</v>
      </c>
    </row>
    <row r="62" spans="1:18" x14ac:dyDescent="0.25">
      <c r="A62" s="2">
        <v>2030</v>
      </c>
      <c r="B62" s="2" t="s">
        <v>8</v>
      </c>
      <c r="C62" s="2">
        <v>1</v>
      </c>
      <c r="D62" s="2" t="s">
        <v>28</v>
      </c>
      <c r="E62" s="2">
        <v>700</v>
      </c>
      <c r="F62" s="2">
        <v>1000</v>
      </c>
      <c r="G62" s="2">
        <v>44</v>
      </c>
      <c r="H62" s="2">
        <v>5</v>
      </c>
      <c r="I62" s="8">
        <v>0.78</v>
      </c>
      <c r="J62" s="8">
        <v>0.48</v>
      </c>
      <c r="K62" s="8">
        <v>0.48</v>
      </c>
      <c r="L62" s="8">
        <v>0.9</v>
      </c>
      <c r="M62" s="2">
        <v>10</v>
      </c>
      <c r="N62" s="2">
        <v>9</v>
      </c>
      <c r="O62" s="2">
        <v>9</v>
      </c>
      <c r="P62" s="2">
        <v>6</v>
      </c>
      <c r="Q62" s="2">
        <v>5</v>
      </c>
      <c r="R62" s="2">
        <v>20</v>
      </c>
    </row>
    <row r="63" spans="1:18" x14ac:dyDescent="0.25">
      <c r="A63" s="2">
        <v>2030</v>
      </c>
      <c r="B63" s="2" t="s">
        <v>9</v>
      </c>
      <c r="C63" s="2">
        <v>2</v>
      </c>
      <c r="D63" s="2" t="s">
        <v>28</v>
      </c>
      <c r="E63" s="2">
        <v>850</v>
      </c>
      <c r="F63" s="2">
        <v>850</v>
      </c>
      <c r="G63" s="2">
        <v>17</v>
      </c>
      <c r="H63" s="2">
        <v>12</v>
      </c>
      <c r="I63" s="8">
        <v>0.95</v>
      </c>
      <c r="J63" s="8">
        <v>0.85</v>
      </c>
      <c r="K63" s="8">
        <v>0.59</v>
      </c>
      <c r="L63" s="8">
        <v>0.61</v>
      </c>
      <c r="M63" s="2">
        <v>10</v>
      </c>
      <c r="N63" s="2">
        <v>5</v>
      </c>
      <c r="O63" s="2">
        <v>10</v>
      </c>
      <c r="P63" s="2">
        <v>9</v>
      </c>
      <c r="Q63" s="2">
        <v>6</v>
      </c>
      <c r="R63" s="2">
        <v>20</v>
      </c>
    </row>
    <row r="64" spans="1:18" x14ac:dyDescent="0.25">
      <c r="A64" s="2">
        <v>2030</v>
      </c>
      <c r="B64" s="2" t="s">
        <v>10</v>
      </c>
      <c r="C64" s="2">
        <v>3</v>
      </c>
      <c r="D64" s="2" t="s">
        <v>28</v>
      </c>
      <c r="E64" s="2">
        <v>1000</v>
      </c>
      <c r="F64" s="2">
        <v>700</v>
      </c>
      <c r="G64" s="2">
        <v>14</v>
      </c>
      <c r="H64" s="2">
        <v>10</v>
      </c>
      <c r="I64" s="8">
        <v>0.77</v>
      </c>
      <c r="J64" s="8">
        <v>0.43</v>
      </c>
      <c r="K64" s="8">
        <v>0.99</v>
      </c>
      <c r="L64" s="8">
        <v>0.49</v>
      </c>
      <c r="M64" s="2">
        <v>10</v>
      </c>
      <c r="N64" s="2">
        <v>5</v>
      </c>
      <c r="O64" s="2">
        <v>10</v>
      </c>
      <c r="P64" s="2">
        <v>5</v>
      </c>
      <c r="Q64" s="2">
        <v>8</v>
      </c>
      <c r="R64" s="2">
        <v>20</v>
      </c>
    </row>
    <row r="65" spans="1:18" x14ac:dyDescent="0.25">
      <c r="A65" s="2">
        <v>2030</v>
      </c>
      <c r="B65" s="2" t="s">
        <v>11</v>
      </c>
      <c r="C65" s="2">
        <v>4</v>
      </c>
      <c r="D65" s="2" t="s">
        <v>28</v>
      </c>
      <c r="E65" s="2">
        <v>850</v>
      </c>
      <c r="F65" s="2">
        <v>850</v>
      </c>
      <c r="G65" s="2">
        <v>13</v>
      </c>
      <c r="H65" s="2">
        <v>15</v>
      </c>
      <c r="I65" s="8">
        <v>0.41</v>
      </c>
      <c r="J65" s="8">
        <v>0.99</v>
      </c>
      <c r="K65" s="8">
        <v>0.47</v>
      </c>
      <c r="L65" s="8">
        <v>0.76</v>
      </c>
      <c r="M65" s="2">
        <v>7</v>
      </c>
      <c r="N65" s="2">
        <v>6</v>
      </c>
      <c r="O65" s="2">
        <v>10</v>
      </c>
      <c r="P65" s="2">
        <v>5</v>
      </c>
      <c r="Q65" s="2">
        <v>6</v>
      </c>
      <c r="R65" s="2">
        <v>20</v>
      </c>
    </row>
    <row r="66" spans="1:18" x14ac:dyDescent="0.25">
      <c r="A66" s="2">
        <v>2030</v>
      </c>
      <c r="B66" s="2" t="s">
        <v>12</v>
      </c>
      <c r="C66" s="2">
        <v>5</v>
      </c>
      <c r="D66" s="2" t="s">
        <v>28</v>
      </c>
      <c r="E66" s="2">
        <v>700</v>
      </c>
      <c r="F66" s="2">
        <v>1000</v>
      </c>
      <c r="G66" s="2">
        <v>13</v>
      </c>
      <c r="H66" s="2">
        <v>26</v>
      </c>
      <c r="I66" s="8">
        <v>0.42</v>
      </c>
      <c r="J66" s="8">
        <v>0.57999999999999996</v>
      </c>
      <c r="K66" s="8">
        <v>0.92</v>
      </c>
      <c r="L66" s="8">
        <v>0.57999999999999996</v>
      </c>
      <c r="M66" s="2">
        <v>9</v>
      </c>
      <c r="N66" s="2">
        <v>7</v>
      </c>
      <c r="O66" s="2">
        <v>6</v>
      </c>
      <c r="P66" s="2">
        <v>7</v>
      </c>
      <c r="Q66" s="2">
        <v>5</v>
      </c>
      <c r="R66" s="2">
        <v>20</v>
      </c>
    </row>
    <row r="67" spans="1:18" x14ac:dyDescent="0.25">
      <c r="A67" s="2">
        <v>2030</v>
      </c>
      <c r="B67" s="2" t="s">
        <v>13</v>
      </c>
      <c r="C67" s="2">
        <v>6</v>
      </c>
      <c r="D67" s="2" t="s">
        <v>28</v>
      </c>
      <c r="E67" s="2">
        <v>550</v>
      </c>
      <c r="F67" s="2">
        <v>1150</v>
      </c>
      <c r="G67" s="2">
        <v>12</v>
      </c>
      <c r="H67" s="2">
        <v>22</v>
      </c>
      <c r="I67" s="8">
        <v>0.53</v>
      </c>
      <c r="J67" s="8">
        <v>0.59</v>
      </c>
      <c r="K67" s="8">
        <v>0.89</v>
      </c>
      <c r="L67" s="8">
        <v>0.49</v>
      </c>
      <c r="M67" s="2">
        <v>9</v>
      </c>
      <c r="N67" s="2">
        <v>6</v>
      </c>
      <c r="O67" s="2">
        <v>6</v>
      </c>
      <c r="P67" s="2">
        <v>10</v>
      </c>
      <c r="Q67" s="2">
        <v>6</v>
      </c>
      <c r="R67" s="2">
        <v>20</v>
      </c>
    </row>
    <row r="68" spans="1:18" x14ac:dyDescent="0.25">
      <c r="A68" s="2">
        <v>2030</v>
      </c>
      <c r="B68" s="2" t="s">
        <v>14</v>
      </c>
      <c r="C68" s="2">
        <v>7</v>
      </c>
      <c r="D68" s="2" t="s">
        <v>28</v>
      </c>
      <c r="E68" s="2">
        <v>650</v>
      </c>
      <c r="F68" s="2">
        <v>1050</v>
      </c>
      <c r="G68" s="2">
        <v>11</v>
      </c>
      <c r="H68" s="2">
        <v>20</v>
      </c>
      <c r="I68" s="8">
        <v>0.43</v>
      </c>
      <c r="J68" s="8">
        <v>0.6</v>
      </c>
      <c r="K68" s="8">
        <v>0.77</v>
      </c>
      <c r="L68" s="8">
        <v>0.65</v>
      </c>
      <c r="M68" s="2">
        <v>9</v>
      </c>
      <c r="N68" s="2">
        <v>7</v>
      </c>
      <c r="O68" s="2">
        <v>9</v>
      </c>
      <c r="P68" s="2">
        <v>5</v>
      </c>
      <c r="Q68" s="2">
        <v>8</v>
      </c>
      <c r="R68" s="2">
        <v>20</v>
      </c>
    </row>
    <row r="69" spans="1:18" x14ac:dyDescent="0.25">
      <c r="A69" s="2">
        <v>2030</v>
      </c>
      <c r="B69" s="2" t="s">
        <v>15</v>
      </c>
      <c r="C69" s="2">
        <v>8</v>
      </c>
      <c r="D69" s="2" t="s">
        <v>28</v>
      </c>
      <c r="E69" s="2">
        <v>750</v>
      </c>
      <c r="F69" s="2">
        <v>950</v>
      </c>
      <c r="G69" s="2">
        <v>11</v>
      </c>
      <c r="H69" s="2">
        <v>15</v>
      </c>
      <c r="I69" s="8">
        <v>0.93</v>
      </c>
      <c r="J69" s="8">
        <v>0.67</v>
      </c>
      <c r="K69" s="8">
        <v>0.9</v>
      </c>
      <c r="L69" s="8">
        <v>0.64</v>
      </c>
      <c r="M69" s="2">
        <v>5</v>
      </c>
      <c r="N69" s="2">
        <v>9</v>
      </c>
      <c r="O69" s="2">
        <v>8</v>
      </c>
      <c r="P69" s="2">
        <v>7</v>
      </c>
      <c r="Q69" s="2">
        <v>10</v>
      </c>
      <c r="R69" s="2">
        <v>20</v>
      </c>
    </row>
    <row r="70" spans="1:18" x14ac:dyDescent="0.25">
      <c r="A70" s="2">
        <v>2030</v>
      </c>
      <c r="B70" s="2" t="s">
        <v>16</v>
      </c>
      <c r="C70" s="2">
        <v>9</v>
      </c>
      <c r="D70" s="2" t="s">
        <v>28</v>
      </c>
      <c r="E70" s="2">
        <v>850</v>
      </c>
      <c r="F70" s="2">
        <v>850</v>
      </c>
      <c r="G70" s="2">
        <v>7</v>
      </c>
      <c r="H70" s="2">
        <v>10</v>
      </c>
      <c r="I70" s="8">
        <v>0.83</v>
      </c>
      <c r="J70" s="8">
        <v>0.51</v>
      </c>
      <c r="K70" s="8">
        <v>0.66</v>
      </c>
      <c r="L70" s="8">
        <v>0.97</v>
      </c>
      <c r="M70" s="2">
        <v>9</v>
      </c>
      <c r="N70" s="2">
        <v>5</v>
      </c>
      <c r="O70" s="2">
        <v>7</v>
      </c>
      <c r="P70" s="2">
        <v>10</v>
      </c>
      <c r="Q70" s="2">
        <v>7</v>
      </c>
      <c r="R70" s="2">
        <v>20</v>
      </c>
    </row>
    <row r="71" spans="1:18" x14ac:dyDescent="0.25">
      <c r="A71" s="2">
        <v>2030</v>
      </c>
      <c r="B71" s="2" t="s">
        <v>17</v>
      </c>
      <c r="C71" s="2">
        <v>10</v>
      </c>
      <c r="D71" s="2" t="s">
        <v>28</v>
      </c>
      <c r="E71" s="2">
        <v>950</v>
      </c>
      <c r="F71" s="2">
        <v>750</v>
      </c>
      <c r="G71" s="2">
        <v>6</v>
      </c>
      <c r="H71" s="2">
        <v>9</v>
      </c>
      <c r="I71" s="8">
        <v>0.42</v>
      </c>
      <c r="J71" s="8">
        <v>0.56999999999999995</v>
      </c>
      <c r="K71" s="8">
        <v>0.56000000000000005</v>
      </c>
      <c r="L71" s="8">
        <v>0.48</v>
      </c>
      <c r="M71" s="2">
        <v>6</v>
      </c>
      <c r="N71" s="2">
        <v>5</v>
      </c>
      <c r="O71" s="2">
        <v>8</v>
      </c>
      <c r="P71" s="2">
        <v>5</v>
      </c>
      <c r="Q71" s="2">
        <v>7</v>
      </c>
      <c r="R71" s="2">
        <v>20</v>
      </c>
    </row>
    <row r="72" spans="1:18" x14ac:dyDescent="0.25">
      <c r="A72" s="2">
        <v>2030</v>
      </c>
      <c r="B72" s="2" t="s">
        <v>18</v>
      </c>
      <c r="C72" s="2">
        <v>11</v>
      </c>
      <c r="D72" s="2" t="s">
        <v>28</v>
      </c>
      <c r="E72" s="2">
        <v>1050</v>
      </c>
      <c r="F72" s="2">
        <v>650</v>
      </c>
      <c r="G72" s="2">
        <v>5</v>
      </c>
      <c r="H72" s="2">
        <v>8</v>
      </c>
      <c r="I72" s="8">
        <v>0.48</v>
      </c>
      <c r="J72" s="8">
        <v>0.9</v>
      </c>
      <c r="K72" s="8">
        <v>0.86</v>
      </c>
      <c r="L72" s="8">
        <v>0.99</v>
      </c>
      <c r="M72" s="2">
        <v>5</v>
      </c>
      <c r="N72" s="2">
        <v>10</v>
      </c>
      <c r="O72" s="2">
        <v>5</v>
      </c>
      <c r="P72" s="2">
        <v>9</v>
      </c>
      <c r="Q72" s="2">
        <v>10</v>
      </c>
      <c r="R72" s="2">
        <v>20</v>
      </c>
    </row>
    <row r="73" spans="1:18" x14ac:dyDescent="0.25">
      <c r="A73" s="2">
        <v>2030</v>
      </c>
      <c r="B73" s="2" t="s">
        <v>19</v>
      </c>
      <c r="C73" s="2">
        <v>12</v>
      </c>
      <c r="D73" s="2" t="s">
        <v>28</v>
      </c>
      <c r="E73" s="2">
        <v>1150</v>
      </c>
      <c r="F73" s="2">
        <v>550</v>
      </c>
      <c r="G73" s="2">
        <v>5</v>
      </c>
      <c r="H73" s="2">
        <v>6</v>
      </c>
      <c r="I73" s="8">
        <v>1</v>
      </c>
      <c r="J73" s="8">
        <v>0.66</v>
      </c>
      <c r="K73" s="8">
        <v>0.62</v>
      </c>
      <c r="L73" s="8">
        <v>0.88</v>
      </c>
      <c r="M73" s="2">
        <v>10</v>
      </c>
      <c r="N73" s="2">
        <v>5</v>
      </c>
      <c r="O73" s="2">
        <v>5</v>
      </c>
      <c r="P73" s="2">
        <v>8</v>
      </c>
      <c r="Q73" s="2">
        <v>8</v>
      </c>
      <c r="R73" s="2">
        <v>20</v>
      </c>
    </row>
    <row r="74" spans="1:18" x14ac:dyDescent="0.25">
      <c r="A74" s="2">
        <v>2028</v>
      </c>
      <c r="B74" s="2" t="s">
        <v>8</v>
      </c>
      <c r="C74" s="2">
        <v>1</v>
      </c>
      <c r="D74" s="2" t="s">
        <v>29</v>
      </c>
      <c r="E74" s="2">
        <v>600</v>
      </c>
      <c r="F74" s="2">
        <v>950</v>
      </c>
      <c r="G74" s="2">
        <v>43</v>
      </c>
      <c r="H74" s="2">
        <v>5</v>
      </c>
      <c r="I74" s="8">
        <v>0.55000000000000004</v>
      </c>
      <c r="J74" s="8">
        <v>0.45</v>
      </c>
      <c r="K74" s="8">
        <v>0.52</v>
      </c>
      <c r="L74" s="8">
        <v>0.77</v>
      </c>
      <c r="M74" s="2">
        <v>7</v>
      </c>
      <c r="N74" s="2">
        <v>6</v>
      </c>
      <c r="O74" s="2">
        <v>8</v>
      </c>
      <c r="P74" s="2">
        <v>10</v>
      </c>
      <c r="Q74" s="2">
        <v>7</v>
      </c>
      <c r="R74" s="2">
        <v>30</v>
      </c>
    </row>
    <row r="75" spans="1:18" x14ac:dyDescent="0.25">
      <c r="A75" s="2">
        <v>2028</v>
      </c>
      <c r="B75" s="2" t="s">
        <v>9</v>
      </c>
      <c r="C75" s="2">
        <v>2</v>
      </c>
      <c r="D75" s="2" t="s">
        <v>29</v>
      </c>
      <c r="E75" s="2">
        <v>650</v>
      </c>
      <c r="F75" s="2">
        <v>900</v>
      </c>
      <c r="G75" s="2">
        <v>40</v>
      </c>
      <c r="H75" s="2">
        <v>19</v>
      </c>
      <c r="I75" s="8">
        <v>0.91</v>
      </c>
      <c r="J75" s="8">
        <v>0.85</v>
      </c>
      <c r="K75" s="8">
        <v>0.97</v>
      </c>
      <c r="L75" s="8">
        <v>0.85</v>
      </c>
      <c r="M75" s="2">
        <v>6</v>
      </c>
      <c r="N75" s="2">
        <v>5</v>
      </c>
      <c r="O75" s="2">
        <v>10</v>
      </c>
      <c r="P75" s="2">
        <v>8</v>
      </c>
      <c r="Q75" s="2">
        <v>10</v>
      </c>
      <c r="R75" s="2">
        <v>30</v>
      </c>
    </row>
    <row r="76" spans="1:18" x14ac:dyDescent="0.25">
      <c r="A76" s="2">
        <v>2028</v>
      </c>
      <c r="B76" s="2" t="s">
        <v>10</v>
      </c>
      <c r="C76" s="2">
        <v>3</v>
      </c>
      <c r="D76" s="2" t="s">
        <v>29</v>
      </c>
      <c r="E76" s="2">
        <v>700</v>
      </c>
      <c r="F76" s="2">
        <v>850</v>
      </c>
      <c r="G76" s="2">
        <v>36</v>
      </c>
      <c r="H76" s="2">
        <v>21</v>
      </c>
      <c r="I76" s="8">
        <v>0.44</v>
      </c>
      <c r="J76" s="8">
        <v>0.55000000000000004</v>
      </c>
      <c r="K76" s="8">
        <v>0.6</v>
      </c>
      <c r="L76" s="8">
        <v>0.8</v>
      </c>
      <c r="M76" s="2">
        <v>8</v>
      </c>
      <c r="N76" s="2">
        <v>9</v>
      </c>
      <c r="O76" s="2">
        <v>8</v>
      </c>
      <c r="P76" s="2">
        <v>6</v>
      </c>
      <c r="Q76" s="2">
        <v>8</v>
      </c>
      <c r="R76" s="2">
        <v>30</v>
      </c>
    </row>
    <row r="77" spans="1:18" x14ac:dyDescent="0.25">
      <c r="A77" s="2">
        <v>2028</v>
      </c>
      <c r="B77" s="2" t="s">
        <v>11</v>
      </c>
      <c r="C77" s="2">
        <v>4</v>
      </c>
      <c r="D77" s="2" t="s">
        <v>29</v>
      </c>
      <c r="E77" s="2">
        <v>750</v>
      </c>
      <c r="F77" s="2">
        <v>800</v>
      </c>
      <c r="G77" s="2">
        <v>33</v>
      </c>
      <c r="H77" s="2">
        <v>24</v>
      </c>
      <c r="I77" s="8">
        <v>0.76</v>
      </c>
      <c r="J77" s="8">
        <v>0.89</v>
      </c>
      <c r="K77" s="8">
        <v>0.53</v>
      </c>
      <c r="L77" s="8">
        <v>0.95</v>
      </c>
      <c r="M77" s="2">
        <v>6</v>
      </c>
      <c r="N77" s="2">
        <v>8</v>
      </c>
      <c r="O77" s="2">
        <v>10</v>
      </c>
      <c r="P77" s="2">
        <v>8</v>
      </c>
      <c r="Q77" s="2">
        <v>10</v>
      </c>
      <c r="R77" s="2">
        <v>30</v>
      </c>
    </row>
    <row r="78" spans="1:18" x14ac:dyDescent="0.25">
      <c r="A78" s="2">
        <v>2028</v>
      </c>
      <c r="B78" s="2" t="s">
        <v>12</v>
      </c>
      <c r="C78" s="2">
        <v>5</v>
      </c>
      <c r="D78" s="2" t="s">
        <v>29</v>
      </c>
      <c r="E78" s="2">
        <v>800</v>
      </c>
      <c r="F78" s="2">
        <v>750</v>
      </c>
      <c r="G78" s="2">
        <v>27</v>
      </c>
      <c r="H78" s="2">
        <v>15</v>
      </c>
      <c r="I78" s="8">
        <v>0.99</v>
      </c>
      <c r="J78" s="8">
        <v>0.8</v>
      </c>
      <c r="K78" s="8">
        <v>0.51</v>
      </c>
      <c r="L78" s="8">
        <v>0.76</v>
      </c>
      <c r="M78" s="2">
        <v>9</v>
      </c>
      <c r="N78" s="2">
        <v>5</v>
      </c>
      <c r="O78" s="2">
        <v>6</v>
      </c>
      <c r="P78" s="2">
        <v>5</v>
      </c>
      <c r="Q78" s="2">
        <v>7</v>
      </c>
      <c r="R78" s="2">
        <v>30</v>
      </c>
    </row>
    <row r="79" spans="1:18" x14ac:dyDescent="0.25">
      <c r="A79" s="2">
        <v>2028</v>
      </c>
      <c r="B79" s="2" t="s">
        <v>13</v>
      </c>
      <c r="C79" s="2">
        <v>6</v>
      </c>
      <c r="D79" s="2" t="s">
        <v>29</v>
      </c>
      <c r="E79" s="2">
        <v>850</v>
      </c>
      <c r="F79" s="2">
        <v>700</v>
      </c>
      <c r="G79" s="2">
        <v>26</v>
      </c>
      <c r="H79" s="2">
        <v>22</v>
      </c>
      <c r="I79" s="8">
        <v>0.66</v>
      </c>
      <c r="J79" s="8">
        <v>0.77</v>
      </c>
      <c r="K79" s="8">
        <v>0.67</v>
      </c>
      <c r="L79" s="8">
        <v>0.62</v>
      </c>
      <c r="M79" s="2">
        <v>6</v>
      </c>
      <c r="N79" s="2">
        <v>8</v>
      </c>
      <c r="O79" s="2">
        <v>7</v>
      </c>
      <c r="P79" s="2">
        <v>6</v>
      </c>
      <c r="Q79" s="2">
        <v>8</v>
      </c>
      <c r="R79" s="2">
        <v>30</v>
      </c>
    </row>
    <row r="80" spans="1:18" x14ac:dyDescent="0.25">
      <c r="A80" s="2">
        <v>2028</v>
      </c>
      <c r="B80" s="2" t="s">
        <v>14</v>
      </c>
      <c r="C80" s="2">
        <v>7</v>
      </c>
      <c r="D80" s="2" t="s">
        <v>29</v>
      </c>
      <c r="E80" s="2">
        <v>900</v>
      </c>
      <c r="F80" s="2">
        <v>650</v>
      </c>
      <c r="G80" s="2">
        <v>23</v>
      </c>
      <c r="H80" s="2">
        <v>27</v>
      </c>
      <c r="I80" s="8">
        <v>0.76</v>
      </c>
      <c r="J80" s="8">
        <v>0.73</v>
      </c>
      <c r="K80" s="8">
        <v>0.72</v>
      </c>
      <c r="L80" s="8">
        <v>0.63</v>
      </c>
      <c r="M80" s="2">
        <v>10</v>
      </c>
      <c r="N80" s="2">
        <v>7</v>
      </c>
      <c r="O80" s="2">
        <v>9</v>
      </c>
      <c r="P80" s="2">
        <v>6</v>
      </c>
      <c r="Q80" s="2">
        <v>5</v>
      </c>
      <c r="R80" s="2">
        <v>30</v>
      </c>
    </row>
    <row r="81" spans="1:18" x14ac:dyDescent="0.25">
      <c r="A81" s="2">
        <v>2028</v>
      </c>
      <c r="B81" s="2" t="s">
        <v>15</v>
      </c>
      <c r="C81" s="2">
        <v>8</v>
      </c>
      <c r="D81" s="2" t="s">
        <v>29</v>
      </c>
      <c r="E81" s="2">
        <v>950</v>
      </c>
      <c r="F81" s="2">
        <v>600</v>
      </c>
      <c r="G81" s="2">
        <v>20</v>
      </c>
      <c r="H81" s="2">
        <v>33</v>
      </c>
      <c r="I81" s="8">
        <v>0.84</v>
      </c>
      <c r="J81" s="8">
        <v>0.88</v>
      </c>
      <c r="K81" s="8">
        <v>0.56000000000000005</v>
      </c>
      <c r="L81" s="8">
        <v>0.42</v>
      </c>
      <c r="M81" s="2">
        <v>7</v>
      </c>
      <c r="N81" s="2">
        <v>5</v>
      </c>
      <c r="O81" s="2">
        <v>6</v>
      </c>
      <c r="P81" s="2">
        <v>8</v>
      </c>
      <c r="Q81" s="2">
        <v>8</v>
      </c>
      <c r="R81" s="2">
        <v>30</v>
      </c>
    </row>
    <row r="82" spans="1:18" x14ac:dyDescent="0.25">
      <c r="A82" s="2">
        <v>2028</v>
      </c>
      <c r="B82" s="2" t="s">
        <v>16</v>
      </c>
      <c r="C82" s="2">
        <v>9</v>
      </c>
      <c r="D82" s="2" t="s">
        <v>29</v>
      </c>
      <c r="E82" s="2">
        <v>1000</v>
      </c>
      <c r="F82" s="2">
        <v>650</v>
      </c>
      <c r="G82" s="2">
        <v>16</v>
      </c>
      <c r="H82" s="2">
        <v>39</v>
      </c>
      <c r="I82" s="8">
        <v>0.93</v>
      </c>
      <c r="J82" s="8">
        <v>0.95</v>
      </c>
      <c r="K82" s="8">
        <v>0.42</v>
      </c>
      <c r="L82" s="8">
        <v>0.68</v>
      </c>
      <c r="M82" s="2">
        <v>10</v>
      </c>
      <c r="N82" s="2">
        <v>6</v>
      </c>
      <c r="O82" s="2">
        <v>8</v>
      </c>
      <c r="P82" s="2">
        <v>6</v>
      </c>
      <c r="Q82" s="2">
        <v>5</v>
      </c>
      <c r="R82" s="2">
        <v>30</v>
      </c>
    </row>
    <row r="83" spans="1:18" x14ac:dyDescent="0.25">
      <c r="A83" s="2">
        <v>2028</v>
      </c>
      <c r="B83" s="2" t="s">
        <v>17</v>
      </c>
      <c r="C83" s="2">
        <v>10</v>
      </c>
      <c r="D83" s="2" t="s">
        <v>29</v>
      </c>
      <c r="E83" s="2">
        <v>1050</v>
      </c>
      <c r="F83" s="2">
        <v>700</v>
      </c>
      <c r="G83" s="2">
        <v>11</v>
      </c>
      <c r="H83" s="2">
        <v>44</v>
      </c>
      <c r="I83" s="8">
        <v>0.86</v>
      </c>
      <c r="J83" s="8">
        <v>0.67</v>
      </c>
      <c r="K83" s="8">
        <v>0.75</v>
      </c>
      <c r="L83" s="8">
        <v>0.42</v>
      </c>
      <c r="M83" s="2">
        <v>7</v>
      </c>
      <c r="N83" s="2">
        <v>10</v>
      </c>
      <c r="O83" s="2">
        <v>9</v>
      </c>
      <c r="P83" s="2">
        <v>5</v>
      </c>
      <c r="Q83" s="2">
        <v>9</v>
      </c>
      <c r="R83" s="2">
        <v>30</v>
      </c>
    </row>
    <row r="84" spans="1:18" x14ac:dyDescent="0.25">
      <c r="A84" s="2">
        <v>2028</v>
      </c>
      <c r="B84" s="2" t="s">
        <v>18</v>
      </c>
      <c r="C84" s="2">
        <v>11</v>
      </c>
      <c r="D84" s="2" t="s">
        <v>29</v>
      </c>
      <c r="E84" s="2">
        <v>1100</v>
      </c>
      <c r="F84" s="2">
        <v>750</v>
      </c>
      <c r="G84" s="2">
        <v>10</v>
      </c>
      <c r="H84" s="2">
        <v>30</v>
      </c>
      <c r="I84" s="8">
        <v>0.68</v>
      </c>
      <c r="J84" s="8">
        <v>0.52</v>
      </c>
      <c r="K84" s="8">
        <v>0.4</v>
      </c>
      <c r="L84" s="8">
        <v>0.71</v>
      </c>
      <c r="M84" s="2">
        <v>9</v>
      </c>
      <c r="N84" s="2">
        <v>5</v>
      </c>
      <c r="O84" s="2">
        <v>5</v>
      </c>
      <c r="P84" s="2">
        <v>6</v>
      </c>
      <c r="Q84" s="2">
        <v>9</v>
      </c>
      <c r="R84" s="2">
        <v>30</v>
      </c>
    </row>
    <row r="85" spans="1:18" x14ac:dyDescent="0.25">
      <c r="A85" s="2">
        <v>2028</v>
      </c>
      <c r="B85" s="2" t="s">
        <v>19</v>
      </c>
      <c r="C85" s="2">
        <v>12</v>
      </c>
      <c r="D85" s="2" t="s">
        <v>29</v>
      </c>
      <c r="E85" s="2">
        <v>1150</v>
      </c>
      <c r="F85" s="2">
        <v>800</v>
      </c>
      <c r="G85" s="2">
        <v>5</v>
      </c>
      <c r="H85" s="2">
        <v>5</v>
      </c>
      <c r="I85" s="8">
        <v>0.4</v>
      </c>
      <c r="J85" s="8">
        <v>0.4</v>
      </c>
      <c r="K85" s="8">
        <v>0.8</v>
      </c>
      <c r="L85" s="8">
        <v>0.72</v>
      </c>
      <c r="M85" s="2">
        <v>5</v>
      </c>
      <c r="N85" s="2">
        <v>5</v>
      </c>
      <c r="O85" s="2">
        <v>8</v>
      </c>
      <c r="P85" s="2">
        <v>5</v>
      </c>
      <c r="Q85" s="2">
        <v>8</v>
      </c>
      <c r="R85" s="2">
        <v>30</v>
      </c>
    </row>
    <row r="86" spans="1:18" x14ac:dyDescent="0.25">
      <c r="A86" s="2">
        <v>2029</v>
      </c>
      <c r="B86" s="2" t="s">
        <v>8</v>
      </c>
      <c r="C86" s="2">
        <v>1</v>
      </c>
      <c r="D86" s="2" t="s">
        <v>29</v>
      </c>
      <c r="E86" s="2">
        <v>900</v>
      </c>
      <c r="F86" s="2">
        <v>1000</v>
      </c>
      <c r="G86" s="2">
        <v>41</v>
      </c>
      <c r="H86" s="2">
        <v>12</v>
      </c>
      <c r="I86" s="8">
        <v>0.9</v>
      </c>
      <c r="J86" s="8">
        <v>0.82</v>
      </c>
      <c r="K86" s="8">
        <v>0.86</v>
      </c>
      <c r="L86" s="8">
        <v>0.56000000000000005</v>
      </c>
      <c r="M86" s="2">
        <v>8</v>
      </c>
      <c r="N86" s="2">
        <v>5</v>
      </c>
      <c r="O86" s="2">
        <v>5</v>
      </c>
      <c r="P86" s="2">
        <v>9</v>
      </c>
      <c r="Q86" s="2">
        <v>10</v>
      </c>
      <c r="R86" s="2">
        <v>15</v>
      </c>
    </row>
    <row r="87" spans="1:18" x14ac:dyDescent="0.25">
      <c r="A87" s="2">
        <v>2029</v>
      </c>
      <c r="B87" s="2" t="s">
        <v>9</v>
      </c>
      <c r="C87" s="2">
        <v>2</v>
      </c>
      <c r="D87" s="2" t="s">
        <v>29</v>
      </c>
      <c r="E87" s="2">
        <v>950</v>
      </c>
      <c r="F87" s="2">
        <v>1100</v>
      </c>
      <c r="G87" s="2">
        <v>8</v>
      </c>
      <c r="H87" s="2">
        <v>9</v>
      </c>
      <c r="I87" s="8">
        <v>0.56000000000000005</v>
      </c>
      <c r="J87" s="8">
        <v>0.68</v>
      </c>
      <c r="K87" s="8">
        <v>0.67</v>
      </c>
      <c r="L87" s="8">
        <v>0.79</v>
      </c>
      <c r="M87" s="2">
        <v>8</v>
      </c>
      <c r="N87" s="2">
        <v>9</v>
      </c>
      <c r="O87" s="2">
        <v>10</v>
      </c>
      <c r="P87" s="2">
        <v>5</v>
      </c>
      <c r="Q87" s="2">
        <v>10</v>
      </c>
      <c r="R87" s="2">
        <v>15</v>
      </c>
    </row>
    <row r="88" spans="1:18" x14ac:dyDescent="0.25">
      <c r="A88" s="2">
        <v>2029</v>
      </c>
      <c r="B88" s="2" t="s">
        <v>10</v>
      </c>
      <c r="C88" s="2">
        <v>3</v>
      </c>
      <c r="D88" s="2" t="s">
        <v>29</v>
      </c>
      <c r="E88" s="2">
        <v>1000</v>
      </c>
      <c r="F88" s="2">
        <v>1190</v>
      </c>
      <c r="G88" s="2">
        <v>8</v>
      </c>
      <c r="H88" s="2">
        <v>7</v>
      </c>
      <c r="I88" s="8">
        <v>0.49</v>
      </c>
      <c r="J88" s="8">
        <v>0.57999999999999996</v>
      </c>
      <c r="K88" s="8">
        <v>0.63</v>
      </c>
      <c r="L88" s="8">
        <v>0.48</v>
      </c>
      <c r="M88" s="2">
        <v>6</v>
      </c>
      <c r="N88" s="2">
        <v>8</v>
      </c>
      <c r="O88" s="2">
        <v>10</v>
      </c>
      <c r="P88" s="2">
        <v>6</v>
      </c>
      <c r="Q88" s="2">
        <v>8</v>
      </c>
      <c r="R88" s="2">
        <v>15</v>
      </c>
    </row>
    <row r="89" spans="1:18" x14ac:dyDescent="0.25">
      <c r="A89" s="2">
        <v>2029</v>
      </c>
      <c r="B89" s="2" t="s">
        <v>11</v>
      </c>
      <c r="C89" s="2">
        <v>4</v>
      </c>
      <c r="D89" s="2" t="s">
        <v>29</v>
      </c>
      <c r="E89" s="2">
        <v>1050</v>
      </c>
      <c r="F89" s="2">
        <v>1130</v>
      </c>
      <c r="G89" s="2">
        <v>10</v>
      </c>
      <c r="H89" s="2">
        <v>23</v>
      </c>
      <c r="I89" s="8">
        <v>0.85</v>
      </c>
      <c r="J89" s="8">
        <v>0.53</v>
      </c>
      <c r="K89" s="8">
        <v>0.44</v>
      </c>
      <c r="L89" s="8">
        <v>0.68</v>
      </c>
      <c r="M89" s="2">
        <v>5</v>
      </c>
      <c r="N89" s="2">
        <v>5</v>
      </c>
      <c r="O89" s="2">
        <v>7</v>
      </c>
      <c r="P89" s="2">
        <v>9</v>
      </c>
      <c r="Q89" s="2">
        <v>10</v>
      </c>
      <c r="R89" s="2">
        <v>15</v>
      </c>
    </row>
    <row r="90" spans="1:18" x14ac:dyDescent="0.25">
      <c r="A90" s="2">
        <v>2029</v>
      </c>
      <c r="B90" s="2" t="s">
        <v>12</v>
      </c>
      <c r="C90" s="2">
        <v>5</v>
      </c>
      <c r="D90" s="2" t="s">
        <v>29</v>
      </c>
      <c r="E90" s="2">
        <v>1100</v>
      </c>
      <c r="F90" s="2">
        <v>1090</v>
      </c>
      <c r="G90" s="2">
        <v>14</v>
      </c>
      <c r="H90" s="2">
        <v>19</v>
      </c>
      <c r="I90" s="8">
        <v>0.56999999999999995</v>
      </c>
      <c r="J90" s="8">
        <v>0.99</v>
      </c>
      <c r="K90" s="8">
        <v>0.86</v>
      </c>
      <c r="L90" s="8">
        <v>0.52</v>
      </c>
      <c r="M90" s="2">
        <v>10</v>
      </c>
      <c r="N90" s="2">
        <v>8</v>
      </c>
      <c r="O90" s="2">
        <v>10</v>
      </c>
      <c r="P90" s="2">
        <v>7</v>
      </c>
      <c r="Q90" s="2">
        <v>5</v>
      </c>
      <c r="R90" s="2">
        <v>15</v>
      </c>
    </row>
    <row r="91" spans="1:18" x14ac:dyDescent="0.25">
      <c r="A91" s="2">
        <v>2029</v>
      </c>
      <c r="B91" s="2" t="s">
        <v>13</v>
      </c>
      <c r="C91" s="2">
        <v>6</v>
      </c>
      <c r="D91" s="2" t="s">
        <v>29</v>
      </c>
      <c r="E91" s="2">
        <v>1150</v>
      </c>
      <c r="F91" s="2">
        <v>1040</v>
      </c>
      <c r="G91" s="2">
        <v>11</v>
      </c>
      <c r="H91" s="2">
        <v>17</v>
      </c>
      <c r="I91" s="8">
        <v>0.99</v>
      </c>
      <c r="J91" s="8">
        <v>0.56000000000000005</v>
      </c>
      <c r="K91" s="8">
        <v>0.47</v>
      </c>
      <c r="L91" s="8">
        <v>0.9</v>
      </c>
      <c r="M91" s="2">
        <v>10</v>
      </c>
      <c r="N91" s="2">
        <v>6</v>
      </c>
      <c r="O91" s="2">
        <v>9</v>
      </c>
      <c r="P91" s="2">
        <v>5</v>
      </c>
      <c r="Q91" s="2">
        <v>7</v>
      </c>
      <c r="R91" s="2">
        <v>15</v>
      </c>
    </row>
    <row r="92" spans="1:18" x14ac:dyDescent="0.25">
      <c r="A92" s="2">
        <v>2029</v>
      </c>
      <c r="B92" s="2" t="s">
        <v>14</v>
      </c>
      <c r="C92" s="2">
        <v>7</v>
      </c>
      <c r="D92" s="2" t="s">
        <v>29</v>
      </c>
      <c r="E92" s="2">
        <v>1200</v>
      </c>
      <c r="F92" s="2">
        <v>970</v>
      </c>
      <c r="G92" s="2">
        <v>10</v>
      </c>
      <c r="H92" s="2">
        <v>12</v>
      </c>
      <c r="I92" s="8">
        <v>0.69</v>
      </c>
      <c r="J92" s="8">
        <v>0.49</v>
      </c>
      <c r="K92" s="8">
        <v>1</v>
      </c>
      <c r="L92" s="8">
        <v>0.66</v>
      </c>
      <c r="M92" s="2">
        <v>7</v>
      </c>
      <c r="N92" s="2">
        <v>7</v>
      </c>
      <c r="O92" s="2">
        <v>8</v>
      </c>
      <c r="P92" s="2">
        <v>8</v>
      </c>
      <c r="Q92" s="2">
        <v>10</v>
      </c>
      <c r="R92" s="2">
        <v>15</v>
      </c>
    </row>
    <row r="93" spans="1:18" x14ac:dyDescent="0.25">
      <c r="A93" s="2">
        <v>2029</v>
      </c>
      <c r="B93" s="2" t="s">
        <v>15</v>
      </c>
      <c r="C93" s="2">
        <v>8</v>
      </c>
      <c r="D93" s="2" t="s">
        <v>29</v>
      </c>
      <c r="E93" s="2">
        <v>1250</v>
      </c>
      <c r="F93" s="2">
        <v>910</v>
      </c>
      <c r="G93" s="2">
        <v>9</v>
      </c>
      <c r="H93" s="2">
        <v>7</v>
      </c>
      <c r="I93" s="8">
        <v>0.91</v>
      </c>
      <c r="J93" s="8">
        <v>0.81</v>
      </c>
      <c r="K93" s="8">
        <v>0.83</v>
      </c>
      <c r="L93" s="8">
        <v>0.67</v>
      </c>
      <c r="M93" s="2">
        <v>5</v>
      </c>
      <c r="N93" s="2">
        <v>10</v>
      </c>
      <c r="O93" s="2">
        <v>9</v>
      </c>
      <c r="P93" s="2">
        <v>9</v>
      </c>
      <c r="Q93" s="2">
        <v>6</v>
      </c>
      <c r="R93" s="2">
        <v>15</v>
      </c>
    </row>
    <row r="94" spans="1:18" x14ac:dyDescent="0.25">
      <c r="A94" s="2">
        <v>2029</v>
      </c>
      <c r="B94" s="2" t="s">
        <v>16</v>
      </c>
      <c r="C94" s="2">
        <v>9</v>
      </c>
      <c r="D94" s="2" t="s">
        <v>29</v>
      </c>
      <c r="E94" s="2">
        <v>1300</v>
      </c>
      <c r="F94" s="2">
        <v>870</v>
      </c>
      <c r="G94" s="2">
        <v>4</v>
      </c>
      <c r="H94" s="2">
        <v>6</v>
      </c>
      <c r="I94" s="8">
        <v>0.4</v>
      </c>
      <c r="J94" s="8">
        <v>0.43</v>
      </c>
      <c r="K94" s="8">
        <v>0.61</v>
      </c>
      <c r="L94" s="8">
        <v>0.68</v>
      </c>
      <c r="M94" s="2">
        <v>9</v>
      </c>
      <c r="N94" s="2">
        <v>8</v>
      </c>
      <c r="O94" s="2">
        <v>5</v>
      </c>
      <c r="P94" s="2">
        <v>10</v>
      </c>
      <c r="Q94" s="2">
        <v>10</v>
      </c>
      <c r="R94" s="2">
        <v>15</v>
      </c>
    </row>
    <row r="95" spans="1:18" x14ac:dyDescent="0.25">
      <c r="A95" s="2">
        <v>2029</v>
      </c>
      <c r="B95" s="2" t="s">
        <v>17</v>
      </c>
      <c r="C95" s="2">
        <v>10</v>
      </c>
      <c r="D95" s="2" t="s">
        <v>29</v>
      </c>
      <c r="E95" s="2">
        <v>1280</v>
      </c>
      <c r="F95" s="2">
        <v>970</v>
      </c>
      <c r="G95" s="2">
        <v>3</v>
      </c>
      <c r="H95" s="2">
        <v>5</v>
      </c>
      <c r="I95" s="8">
        <v>0.83</v>
      </c>
      <c r="J95" s="8">
        <v>0.7</v>
      </c>
      <c r="K95" s="8">
        <v>1</v>
      </c>
      <c r="L95" s="8">
        <v>0.8</v>
      </c>
      <c r="M95" s="2">
        <v>6</v>
      </c>
      <c r="N95" s="2">
        <v>6</v>
      </c>
      <c r="O95" s="2">
        <v>8</v>
      </c>
      <c r="P95" s="2">
        <v>9</v>
      </c>
      <c r="Q95" s="2">
        <v>7</v>
      </c>
      <c r="R95" s="2">
        <v>15</v>
      </c>
    </row>
    <row r="96" spans="1:18" x14ac:dyDescent="0.25">
      <c r="A96" s="2">
        <v>2029</v>
      </c>
      <c r="B96" s="2" t="s">
        <v>18</v>
      </c>
      <c r="C96" s="2">
        <v>11</v>
      </c>
      <c r="D96" s="2" t="s">
        <v>29</v>
      </c>
      <c r="E96" s="2">
        <v>1220</v>
      </c>
      <c r="F96" s="2">
        <v>1090</v>
      </c>
      <c r="G96" s="2">
        <v>2</v>
      </c>
      <c r="H96" s="2">
        <v>3</v>
      </c>
      <c r="I96" s="8">
        <v>0.64</v>
      </c>
      <c r="J96" s="8">
        <v>1</v>
      </c>
      <c r="K96" s="8">
        <v>0.98</v>
      </c>
      <c r="L96" s="8">
        <v>0.76</v>
      </c>
      <c r="M96" s="2">
        <v>5</v>
      </c>
      <c r="N96" s="2">
        <v>6</v>
      </c>
      <c r="O96" s="2">
        <v>6</v>
      </c>
      <c r="P96" s="2">
        <v>9</v>
      </c>
      <c r="Q96" s="2">
        <v>6</v>
      </c>
      <c r="R96" s="2">
        <v>15</v>
      </c>
    </row>
    <row r="97" spans="1:18" x14ac:dyDescent="0.25">
      <c r="A97" s="2">
        <v>2029</v>
      </c>
      <c r="B97" s="2" t="s">
        <v>19</v>
      </c>
      <c r="C97" s="2">
        <v>12</v>
      </c>
      <c r="D97" s="2" t="s">
        <v>29</v>
      </c>
      <c r="E97" s="2">
        <v>1150</v>
      </c>
      <c r="F97" s="2">
        <v>1190</v>
      </c>
      <c r="G97" s="2">
        <v>2</v>
      </c>
      <c r="H97" s="2">
        <v>2</v>
      </c>
      <c r="I97" s="8">
        <v>0.71</v>
      </c>
      <c r="J97" s="8">
        <v>0.42</v>
      </c>
      <c r="K97" s="8">
        <v>0.93</v>
      </c>
      <c r="L97" s="8">
        <v>0.79</v>
      </c>
      <c r="M97" s="2">
        <v>9</v>
      </c>
      <c r="N97" s="2">
        <v>5</v>
      </c>
      <c r="O97" s="2">
        <v>10</v>
      </c>
      <c r="P97" s="2">
        <v>7</v>
      </c>
      <c r="Q97" s="2">
        <v>9</v>
      </c>
      <c r="R97" s="2">
        <v>15</v>
      </c>
    </row>
    <row r="98" spans="1:18" x14ac:dyDescent="0.25">
      <c r="A98" s="2">
        <v>2030</v>
      </c>
      <c r="B98" s="2" t="s">
        <v>8</v>
      </c>
      <c r="C98" s="2">
        <v>1</v>
      </c>
      <c r="D98" s="2" t="s">
        <v>29</v>
      </c>
      <c r="E98" s="2">
        <v>1350</v>
      </c>
      <c r="F98" s="2">
        <v>950</v>
      </c>
      <c r="G98" s="2">
        <v>40</v>
      </c>
      <c r="H98" s="2">
        <v>24</v>
      </c>
      <c r="I98" s="8">
        <v>0.82</v>
      </c>
      <c r="J98" s="8">
        <v>0.98</v>
      </c>
      <c r="K98" s="8">
        <v>0.98</v>
      </c>
      <c r="L98" s="8">
        <v>0.75</v>
      </c>
      <c r="M98" s="2">
        <v>10</v>
      </c>
      <c r="N98" s="2">
        <v>9</v>
      </c>
      <c r="O98" s="2">
        <v>8</v>
      </c>
      <c r="P98" s="2">
        <v>6</v>
      </c>
      <c r="Q98" s="2">
        <v>10</v>
      </c>
      <c r="R98" s="2">
        <v>25</v>
      </c>
    </row>
    <row r="99" spans="1:18" x14ac:dyDescent="0.25">
      <c r="A99" s="2">
        <v>2030</v>
      </c>
      <c r="B99" s="2" t="s">
        <v>9</v>
      </c>
      <c r="C99" s="2">
        <v>2</v>
      </c>
      <c r="D99" s="2" t="s">
        <v>29</v>
      </c>
      <c r="E99" s="2">
        <v>1300</v>
      </c>
      <c r="F99" s="2">
        <v>800</v>
      </c>
      <c r="G99" s="2">
        <v>37</v>
      </c>
      <c r="H99" s="2">
        <v>21</v>
      </c>
      <c r="I99" s="8">
        <v>0.56000000000000005</v>
      </c>
      <c r="J99" s="8">
        <v>0.52</v>
      </c>
      <c r="K99" s="8">
        <v>0.64</v>
      </c>
      <c r="L99" s="8">
        <v>0.82</v>
      </c>
      <c r="M99" s="2">
        <v>9</v>
      </c>
      <c r="N99" s="2">
        <v>6</v>
      </c>
      <c r="O99" s="2">
        <v>5</v>
      </c>
      <c r="P99" s="2">
        <v>6</v>
      </c>
      <c r="Q99" s="2">
        <v>8</v>
      </c>
      <c r="R99" s="2">
        <v>25</v>
      </c>
    </row>
    <row r="100" spans="1:18" x14ac:dyDescent="0.25">
      <c r="A100" s="2">
        <v>2030</v>
      </c>
      <c r="B100" s="2" t="s">
        <v>10</v>
      </c>
      <c r="C100" s="2">
        <v>3</v>
      </c>
      <c r="D100" s="2" t="s">
        <v>29</v>
      </c>
      <c r="E100" s="2">
        <v>1450</v>
      </c>
      <c r="F100" s="2">
        <v>1050</v>
      </c>
      <c r="G100" s="2">
        <v>33</v>
      </c>
      <c r="H100" s="2">
        <v>19</v>
      </c>
      <c r="I100" s="8">
        <v>0.69</v>
      </c>
      <c r="J100" s="8">
        <v>0.57999999999999996</v>
      </c>
      <c r="K100" s="8">
        <v>0.7</v>
      </c>
      <c r="L100" s="8">
        <v>0.63</v>
      </c>
      <c r="M100" s="2">
        <v>7</v>
      </c>
      <c r="N100" s="2">
        <v>8</v>
      </c>
      <c r="O100" s="2">
        <v>8</v>
      </c>
      <c r="P100" s="2">
        <v>5</v>
      </c>
      <c r="Q100" s="2">
        <v>9</v>
      </c>
      <c r="R100" s="2">
        <v>25</v>
      </c>
    </row>
    <row r="101" spans="1:18" x14ac:dyDescent="0.25">
      <c r="A101" s="2">
        <v>2030</v>
      </c>
      <c r="B101" s="2" t="s">
        <v>11</v>
      </c>
      <c r="C101" s="2">
        <v>4</v>
      </c>
      <c r="D101" s="2" t="s">
        <v>29</v>
      </c>
      <c r="E101" s="2">
        <v>1300</v>
      </c>
      <c r="F101" s="2">
        <v>650</v>
      </c>
      <c r="G101" s="2">
        <v>28</v>
      </c>
      <c r="H101" s="2">
        <v>15</v>
      </c>
      <c r="I101" s="8">
        <v>0.7</v>
      </c>
      <c r="J101" s="8">
        <v>0.46</v>
      </c>
      <c r="K101" s="8">
        <v>0.85</v>
      </c>
      <c r="L101" s="8">
        <v>0.47</v>
      </c>
      <c r="M101" s="2">
        <v>9</v>
      </c>
      <c r="N101" s="2">
        <v>10</v>
      </c>
      <c r="O101" s="2">
        <v>7</v>
      </c>
      <c r="P101" s="2">
        <v>8</v>
      </c>
      <c r="Q101" s="2">
        <v>6</v>
      </c>
      <c r="R101" s="2">
        <v>25</v>
      </c>
    </row>
    <row r="102" spans="1:18" x14ac:dyDescent="0.25">
      <c r="A102" s="2">
        <v>2030</v>
      </c>
      <c r="B102" s="2" t="s">
        <v>12</v>
      </c>
      <c r="C102" s="2">
        <v>5</v>
      </c>
      <c r="D102" s="2" t="s">
        <v>29</v>
      </c>
      <c r="E102" s="2">
        <v>1350</v>
      </c>
      <c r="F102" s="2">
        <v>900</v>
      </c>
      <c r="G102" s="2">
        <v>27</v>
      </c>
      <c r="H102" s="2">
        <v>41</v>
      </c>
      <c r="I102" s="8">
        <v>0.81</v>
      </c>
      <c r="J102" s="8">
        <v>0.4</v>
      </c>
      <c r="K102" s="8">
        <v>0.87</v>
      </c>
      <c r="L102" s="8">
        <v>0.93</v>
      </c>
      <c r="M102" s="2">
        <v>7</v>
      </c>
      <c r="N102" s="2">
        <v>9</v>
      </c>
      <c r="O102" s="2">
        <v>5</v>
      </c>
      <c r="P102" s="2">
        <v>8</v>
      </c>
      <c r="Q102" s="2">
        <v>10</v>
      </c>
      <c r="R102" s="2">
        <v>25</v>
      </c>
    </row>
    <row r="103" spans="1:18" x14ac:dyDescent="0.25">
      <c r="A103" s="2">
        <v>2030</v>
      </c>
      <c r="B103" s="2" t="s">
        <v>13</v>
      </c>
      <c r="C103" s="2">
        <v>6</v>
      </c>
      <c r="D103" s="2" t="s">
        <v>29</v>
      </c>
      <c r="E103" s="2">
        <v>1200</v>
      </c>
      <c r="F103" s="2">
        <v>750</v>
      </c>
      <c r="G103" s="2">
        <v>23</v>
      </c>
      <c r="H103" s="2">
        <v>36</v>
      </c>
      <c r="I103" s="8">
        <v>0.81</v>
      </c>
      <c r="J103" s="8">
        <v>0.52</v>
      </c>
      <c r="K103" s="8">
        <v>0.78</v>
      </c>
      <c r="L103" s="8">
        <v>0.74</v>
      </c>
      <c r="M103" s="2">
        <v>5</v>
      </c>
      <c r="N103" s="2">
        <v>7</v>
      </c>
      <c r="O103" s="2">
        <v>8</v>
      </c>
      <c r="P103" s="2">
        <v>6</v>
      </c>
      <c r="Q103" s="2">
        <v>9</v>
      </c>
      <c r="R103" s="2">
        <v>25</v>
      </c>
    </row>
    <row r="104" spans="1:18" x14ac:dyDescent="0.25">
      <c r="A104" s="2">
        <v>2030</v>
      </c>
      <c r="B104" s="2" t="s">
        <v>14</v>
      </c>
      <c r="C104" s="2">
        <v>7</v>
      </c>
      <c r="D104" s="2" t="s">
        <v>29</v>
      </c>
      <c r="E104" s="2">
        <v>1250</v>
      </c>
      <c r="F104" s="2">
        <v>1000</v>
      </c>
      <c r="G104" s="2">
        <v>20</v>
      </c>
      <c r="H104" s="2">
        <v>30</v>
      </c>
      <c r="I104" s="8">
        <v>0.95</v>
      </c>
      <c r="J104" s="8">
        <v>0.84</v>
      </c>
      <c r="K104" s="8">
        <v>0.51</v>
      </c>
      <c r="L104" s="8">
        <v>0.87</v>
      </c>
      <c r="M104" s="2">
        <v>10</v>
      </c>
      <c r="N104" s="2">
        <v>5</v>
      </c>
      <c r="O104" s="2">
        <v>10</v>
      </c>
      <c r="P104" s="2">
        <v>6</v>
      </c>
      <c r="Q104" s="2">
        <v>9</v>
      </c>
      <c r="R104" s="2">
        <v>25</v>
      </c>
    </row>
    <row r="105" spans="1:18" x14ac:dyDescent="0.25">
      <c r="A105" s="2">
        <v>2030</v>
      </c>
      <c r="B105" s="2" t="s">
        <v>15</v>
      </c>
      <c r="C105" s="2">
        <v>8</v>
      </c>
      <c r="D105" s="2" t="s">
        <v>29</v>
      </c>
      <c r="E105" s="2">
        <v>1050</v>
      </c>
      <c r="F105" s="2">
        <v>600</v>
      </c>
      <c r="G105" s="2">
        <v>17</v>
      </c>
      <c r="H105" s="2">
        <v>30</v>
      </c>
      <c r="I105" s="8">
        <v>0.65</v>
      </c>
      <c r="J105" s="8">
        <v>0.71</v>
      </c>
      <c r="K105" s="8">
        <v>0.98</v>
      </c>
      <c r="L105" s="8">
        <v>0.42</v>
      </c>
      <c r="M105" s="2">
        <v>9</v>
      </c>
      <c r="N105" s="2">
        <v>10</v>
      </c>
      <c r="O105" s="2">
        <v>7</v>
      </c>
      <c r="P105" s="2">
        <v>10</v>
      </c>
      <c r="Q105" s="2">
        <v>5</v>
      </c>
      <c r="R105" s="2">
        <v>25</v>
      </c>
    </row>
    <row r="106" spans="1:18" x14ac:dyDescent="0.25">
      <c r="A106" s="2">
        <v>2030</v>
      </c>
      <c r="B106" s="2" t="s">
        <v>16</v>
      </c>
      <c r="C106" s="2">
        <v>9</v>
      </c>
      <c r="D106" s="2" t="s">
        <v>29</v>
      </c>
      <c r="E106" s="2">
        <v>1150</v>
      </c>
      <c r="F106" s="2">
        <v>850</v>
      </c>
      <c r="G106" s="2">
        <v>13</v>
      </c>
      <c r="H106" s="2">
        <v>16</v>
      </c>
      <c r="I106" s="8">
        <v>0.92</v>
      </c>
      <c r="J106" s="8">
        <v>0.48</v>
      </c>
      <c r="K106" s="8">
        <v>0.92</v>
      </c>
      <c r="L106" s="8">
        <v>0.88</v>
      </c>
      <c r="M106" s="2">
        <v>8</v>
      </c>
      <c r="N106" s="2">
        <v>5</v>
      </c>
      <c r="O106" s="2">
        <v>6</v>
      </c>
      <c r="P106" s="2">
        <v>5</v>
      </c>
      <c r="Q106" s="2">
        <v>8</v>
      </c>
      <c r="R106" s="2">
        <v>25</v>
      </c>
    </row>
    <row r="107" spans="1:18" x14ac:dyDescent="0.25">
      <c r="A107" s="2">
        <v>2030</v>
      </c>
      <c r="B107" s="2" t="s">
        <v>17</v>
      </c>
      <c r="C107" s="2">
        <v>10</v>
      </c>
      <c r="D107" s="2" t="s">
        <v>29</v>
      </c>
      <c r="E107" s="2">
        <v>1000</v>
      </c>
      <c r="F107" s="2">
        <v>700</v>
      </c>
      <c r="G107" s="2">
        <v>8</v>
      </c>
      <c r="H107" s="2">
        <v>15</v>
      </c>
      <c r="I107" s="8">
        <v>0.42</v>
      </c>
      <c r="J107" s="8">
        <v>0.87</v>
      </c>
      <c r="K107" s="8">
        <v>0.88</v>
      </c>
      <c r="L107" s="8">
        <v>0.6</v>
      </c>
      <c r="M107" s="2">
        <v>9</v>
      </c>
      <c r="N107" s="2">
        <v>9</v>
      </c>
      <c r="O107" s="2">
        <v>7</v>
      </c>
      <c r="P107" s="2">
        <v>7</v>
      </c>
      <c r="Q107" s="2">
        <v>7</v>
      </c>
      <c r="R107" s="2">
        <v>25</v>
      </c>
    </row>
    <row r="108" spans="1:18" x14ac:dyDescent="0.25">
      <c r="A108" s="2">
        <v>2030</v>
      </c>
      <c r="B108" s="2" t="s">
        <v>18</v>
      </c>
      <c r="C108" s="2">
        <v>11</v>
      </c>
      <c r="D108" s="2" t="s">
        <v>29</v>
      </c>
      <c r="E108" s="2">
        <v>1050</v>
      </c>
      <c r="F108" s="2">
        <v>950</v>
      </c>
      <c r="G108" s="2">
        <v>4</v>
      </c>
      <c r="H108" s="2">
        <v>2</v>
      </c>
      <c r="I108" s="8">
        <v>0.95</v>
      </c>
      <c r="J108" s="8">
        <v>0.66</v>
      </c>
      <c r="K108" s="8">
        <v>0.98</v>
      </c>
      <c r="L108" s="8">
        <v>0.59</v>
      </c>
      <c r="M108" s="2">
        <v>6</v>
      </c>
      <c r="N108" s="2">
        <v>8</v>
      </c>
      <c r="O108" s="2">
        <v>7</v>
      </c>
      <c r="P108" s="2">
        <v>6</v>
      </c>
      <c r="Q108" s="2">
        <v>5</v>
      </c>
      <c r="R108" s="2">
        <v>25</v>
      </c>
    </row>
    <row r="109" spans="1:18" x14ac:dyDescent="0.25">
      <c r="A109" s="2">
        <v>2030</v>
      </c>
      <c r="B109" s="2" t="s">
        <v>19</v>
      </c>
      <c r="C109" s="2">
        <v>12</v>
      </c>
      <c r="D109" s="2" t="s">
        <v>29</v>
      </c>
      <c r="E109" s="2">
        <v>900</v>
      </c>
      <c r="F109" s="2">
        <v>800</v>
      </c>
      <c r="G109" s="2">
        <v>2</v>
      </c>
      <c r="H109" s="2">
        <v>2</v>
      </c>
      <c r="I109" s="8">
        <v>0.53</v>
      </c>
      <c r="J109" s="8">
        <v>0.59</v>
      </c>
      <c r="K109" s="8">
        <v>0.91</v>
      </c>
      <c r="L109" s="8">
        <v>0.82</v>
      </c>
      <c r="M109" s="2">
        <v>9</v>
      </c>
      <c r="N109" s="2">
        <v>5</v>
      </c>
      <c r="O109" s="2">
        <v>9</v>
      </c>
      <c r="P109" s="2">
        <v>9</v>
      </c>
      <c r="Q109" s="2">
        <v>9</v>
      </c>
      <c r="R109" s="2">
        <v>25</v>
      </c>
    </row>
    <row r="110" spans="1:18" x14ac:dyDescent="0.25">
      <c r="A110" s="2">
        <v>2028</v>
      </c>
      <c r="B110" s="2" t="s">
        <v>8</v>
      </c>
      <c r="C110" s="2">
        <v>1</v>
      </c>
      <c r="D110" s="2" t="s">
        <v>30</v>
      </c>
      <c r="E110" s="2">
        <v>900</v>
      </c>
      <c r="F110" s="2">
        <v>800</v>
      </c>
      <c r="G110" s="2">
        <v>78</v>
      </c>
      <c r="H110" s="2">
        <v>2</v>
      </c>
      <c r="I110" s="8">
        <v>0.83</v>
      </c>
      <c r="J110" s="8">
        <v>0.65</v>
      </c>
      <c r="K110" s="8">
        <v>0.66</v>
      </c>
      <c r="L110" s="8">
        <v>0.71</v>
      </c>
      <c r="M110" s="16">
        <v>6</v>
      </c>
      <c r="N110" s="16">
        <v>7</v>
      </c>
      <c r="O110" s="16">
        <v>5</v>
      </c>
      <c r="P110" s="16">
        <v>8</v>
      </c>
      <c r="Q110" s="16">
        <v>10</v>
      </c>
      <c r="R110" s="2">
        <v>55</v>
      </c>
    </row>
    <row r="111" spans="1:18" x14ac:dyDescent="0.25">
      <c r="A111" s="2">
        <v>2028</v>
      </c>
      <c r="B111" s="2" t="s">
        <v>9</v>
      </c>
      <c r="C111" s="2">
        <v>2</v>
      </c>
      <c r="D111" s="2" t="s">
        <v>30</v>
      </c>
      <c r="E111" s="2">
        <v>700</v>
      </c>
      <c r="F111" s="2">
        <v>950</v>
      </c>
      <c r="G111" s="2">
        <v>71</v>
      </c>
      <c r="H111" s="2">
        <v>5</v>
      </c>
      <c r="I111" s="8">
        <v>0.6</v>
      </c>
      <c r="J111" s="8">
        <v>0.45</v>
      </c>
      <c r="K111" s="8">
        <v>0.72</v>
      </c>
      <c r="L111" s="8">
        <v>0.77</v>
      </c>
      <c r="M111" s="16">
        <v>5</v>
      </c>
      <c r="N111" s="16">
        <v>9</v>
      </c>
      <c r="O111" s="16">
        <v>9</v>
      </c>
      <c r="P111" s="16">
        <v>5</v>
      </c>
      <c r="Q111" s="16">
        <v>6</v>
      </c>
      <c r="R111" s="2">
        <v>55</v>
      </c>
    </row>
    <row r="112" spans="1:18" x14ac:dyDescent="0.25">
      <c r="A112" s="2">
        <v>2028</v>
      </c>
      <c r="B112" s="2" t="s">
        <v>10</v>
      </c>
      <c r="C112" s="2">
        <v>3</v>
      </c>
      <c r="D112" s="2" t="s">
        <v>30</v>
      </c>
      <c r="E112" s="2">
        <v>800</v>
      </c>
      <c r="F112" s="2">
        <v>700</v>
      </c>
      <c r="G112" s="2">
        <v>65</v>
      </c>
      <c r="H112" s="2">
        <v>10</v>
      </c>
      <c r="I112" s="8">
        <v>0.75</v>
      </c>
      <c r="J112" s="8">
        <v>0.83</v>
      </c>
      <c r="K112" s="8">
        <v>0.46</v>
      </c>
      <c r="L112" s="8">
        <v>0.51</v>
      </c>
      <c r="M112" s="16">
        <v>6</v>
      </c>
      <c r="N112" s="16">
        <v>8</v>
      </c>
      <c r="O112" s="16">
        <v>6</v>
      </c>
      <c r="P112" s="16">
        <v>5</v>
      </c>
      <c r="Q112" s="16">
        <v>7</v>
      </c>
      <c r="R112" s="2">
        <v>55</v>
      </c>
    </row>
    <row r="113" spans="1:18" x14ac:dyDescent="0.25">
      <c r="A113" s="2">
        <v>2028</v>
      </c>
      <c r="B113" s="2" t="s">
        <v>11</v>
      </c>
      <c r="C113" s="2">
        <v>4</v>
      </c>
      <c r="D113" s="2" t="s">
        <v>30</v>
      </c>
      <c r="E113" s="2">
        <v>900</v>
      </c>
      <c r="F113" s="2">
        <v>850</v>
      </c>
      <c r="G113" s="2">
        <v>58</v>
      </c>
      <c r="H113" s="2">
        <v>17</v>
      </c>
      <c r="I113" s="8">
        <v>0.97</v>
      </c>
      <c r="J113" s="8">
        <v>1</v>
      </c>
      <c r="K113" s="8">
        <v>0.52</v>
      </c>
      <c r="L113" s="8">
        <v>0.49</v>
      </c>
      <c r="M113" s="16">
        <v>5</v>
      </c>
      <c r="N113" s="16">
        <v>5</v>
      </c>
      <c r="O113" s="16">
        <v>6</v>
      </c>
      <c r="P113" s="16">
        <v>5</v>
      </c>
      <c r="Q113" s="16">
        <v>8</v>
      </c>
      <c r="R113" s="2">
        <v>55</v>
      </c>
    </row>
    <row r="114" spans="1:18" x14ac:dyDescent="0.25">
      <c r="A114" s="2">
        <v>2028</v>
      </c>
      <c r="B114" s="2" t="s">
        <v>12</v>
      </c>
      <c r="C114" s="2">
        <v>5</v>
      </c>
      <c r="D114" s="2" t="s">
        <v>30</v>
      </c>
      <c r="E114" s="2">
        <v>1050</v>
      </c>
      <c r="F114" s="2">
        <v>600</v>
      </c>
      <c r="G114" s="2">
        <v>50</v>
      </c>
      <c r="H114" s="2">
        <v>25</v>
      </c>
      <c r="I114" s="8">
        <v>0.83</v>
      </c>
      <c r="J114" s="8">
        <v>0.62</v>
      </c>
      <c r="K114" s="8">
        <v>0.48</v>
      </c>
      <c r="L114" s="8">
        <v>0.42</v>
      </c>
      <c r="M114" s="16">
        <v>6</v>
      </c>
      <c r="N114" s="16">
        <v>8</v>
      </c>
      <c r="O114" s="16">
        <v>7</v>
      </c>
      <c r="P114" s="16">
        <v>8</v>
      </c>
      <c r="Q114" s="16">
        <v>10</v>
      </c>
      <c r="R114" s="2">
        <v>55</v>
      </c>
    </row>
    <row r="115" spans="1:18" x14ac:dyDescent="0.25">
      <c r="A115" s="2">
        <v>2028</v>
      </c>
      <c r="B115" s="2" t="s">
        <v>13</v>
      </c>
      <c r="C115" s="2">
        <v>6</v>
      </c>
      <c r="D115" s="2" t="s">
        <v>30</v>
      </c>
      <c r="E115" s="2">
        <v>1100</v>
      </c>
      <c r="F115" s="2">
        <v>900</v>
      </c>
      <c r="G115" s="2">
        <v>30</v>
      </c>
      <c r="H115" s="2">
        <v>70</v>
      </c>
      <c r="I115" s="8">
        <v>0.54</v>
      </c>
      <c r="J115" s="8">
        <v>0.59</v>
      </c>
      <c r="K115" s="8">
        <v>0.89</v>
      </c>
      <c r="L115" s="8">
        <v>0.64</v>
      </c>
      <c r="M115" s="16">
        <v>9</v>
      </c>
      <c r="N115" s="16">
        <v>6</v>
      </c>
      <c r="O115" s="16">
        <v>8</v>
      </c>
      <c r="P115" s="16">
        <v>10</v>
      </c>
      <c r="Q115" s="16">
        <v>8</v>
      </c>
      <c r="R115" s="2">
        <v>55</v>
      </c>
    </row>
    <row r="116" spans="1:18" x14ac:dyDescent="0.25">
      <c r="A116" s="2">
        <v>2028</v>
      </c>
      <c r="B116" s="2" t="s">
        <v>14</v>
      </c>
      <c r="C116" s="2">
        <v>7</v>
      </c>
      <c r="D116" s="2" t="s">
        <v>30</v>
      </c>
      <c r="E116" s="2">
        <v>1000</v>
      </c>
      <c r="F116" s="2">
        <v>750</v>
      </c>
      <c r="G116" s="2">
        <v>20</v>
      </c>
      <c r="H116" s="2">
        <v>65</v>
      </c>
      <c r="I116" s="8">
        <v>0.95</v>
      </c>
      <c r="J116" s="8">
        <v>0.55000000000000004</v>
      </c>
      <c r="K116" s="8">
        <v>0.61</v>
      </c>
      <c r="L116" s="8">
        <v>0.99</v>
      </c>
      <c r="M116" s="16">
        <v>7</v>
      </c>
      <c r="N116" s="16">
        <v>5</v>
      </c>
      <c r="O116" s="16">
        <v>5</v>
      </c>
      <c r="P116" s="16">
        <v>8</v>
      </c>
      <c r="Q116" s="16">
        <v>7</v>
      </c>
      <c r="R116" s="2">
        <v>55</v>
      </c>
    </row>
    <row r="117" spans="1:18" x14ac:dyDescent="0.25">
      <c r="A117" s="2">
        <v>2028</v>
      </c>
      <c r="B117" s="2" t="s">
        <v>15</v>
      </c>
      <c r="C117" s="2">
        <v>8</v>
      </c>
      <c r="D117" s="2" t="s">
        <v>30</v>
      </c>
      <c r="E117" s="2">
        <v>1300</v>
      </c>
      <c r="F117" s="2">
        <v>1000</v>
      </c>
      <c r="G117" s="2">
        <v>15</v>
      </c>
      <c r="H117" s="2">
        <v>60</v>
      </c>
      <c r="I117" s="8">
        <v>0.92</v>
      </c>
      <c r="J117" s="8">
        <v>0.51</v>
      </c>
      <c r="K117" s="8">
        <v>0.77</v>
      </c>
      <c r="L117" s="8">
        <v>0.86</v>
      </c>
      <c r="M117" s="16">
        <v>10</v>
      </c>
      <c r="N117" s="16">
        <v>6</v>
      </c>
      <c r="O117" s="16">
        <v>9</v>
      </c>
      <c r="P117" s="16">
        <v>9</v>
      </c>
      <c r="Q117" s="16">
        <v>10</v>
      </c>
      <c r="R117" s="2">
        <v>55</v>
      </c>
    </row>
    <row r="118" spans="1:18" x14ac:dyDescent="0.25">
      <c r="A118" s="2">
        <v>2028</v>
      </c>
      <c r="B118" s="2" t="s">
        <v>16</v>
      </c>
      <c r="C118" s="2">
        <v>9</v>
      </c>
      <c r="D118" s="2" t="s">
        <v>30</v>
      </c>
      <c r="E118" s="2">
        <v>1400</v>
      </c>
      <c r="F118" s="2">
        <v>700</v>
      </c>
      <c r="G118" s="2">
        <v>8</v>
      </c>
      <c r="H118" s="2">
        <v>55</v>
      </c>
      <c r="I118" s="8">
        <v>0.53</v>
      </c>
      <c r="J118" s="8">
        <v>0.9</v>
      </c>
      <c r="K118" s="8">
        <v>0.89</v>
      </c>
      <c r="L118" s="8">
        <v>0.56999999999999995</v>
      </c>
      <c r="M118" s="16">
        <v>6</v>
      </c>
      <c r="N118" s="16">
        <v>10</v>
      </c>
      <c r="O118" s="16">
        <v>5</v>
      </c>
      <c r="P118" s="16">
        <v>8</v>
      </c>
      <c r="Q118" s="16">
        <v>10</v>
      </c>
      <c r="R118" s="2">
        <v>55</v>
      </c>
    </row>
    <row r="119" spans="1:18" x14ac:dyDescent="0.25">
      <c r="A119" s="2">
        <v>2028</v>
      </c>
      <c r="B119" s="2" t="s">
        <v>17</v>
      </c>
      <c r="C119" s="2">
        <v>10</v>
      </c>
      <c r="D119" s="2" t="s">
        <v>30</v>
      </c>
      <c r="E119" s="2">
        <v>1200</v>
      </c>
      <c r="F119" s="2">
        <v>850</v>
      </c>
      <c r="G119" s="2">
        <v>5</v>
      </c>
      <c r="H119" s="2">
        <v>50</v>
      </c>
      <c r="I119" s="8">
        <v>0.41</v>
      </c>
      <c r="J119" s="8">
        <v>0.99</v>
      </c>
      <c r="K119" s="8">
        <v>0.47</v>
      </c>
      <c r="L119" s="8">
        <v>0.81</v>
      </c>
      <c r="M119" s="16">
        <v>7</v>
      </c>
      <c r="N119" s="16">
        <v>10</v>
      </c>
      <c r="O119" s="16">
        <v>7</v>
      </c>
      <c r="P119" s="16">
        <v>5</v>
      </c>
      <c r="Q119" s="16">
        <v>9</v>
      </c>
      <c r="R119" s="2">
        <v>55</v>
      </c>
    </row>
    <row r="120" spans="1:18" x14ac:dyDescent="0.25">
      <c r="A120" s="2">
        <v>2028</v>
      </c>
      <c r="B120" s="2" t="s">
        <v>18</v>
      </c>
      <c r="C120" s="2">
        <v>11</v>
      </c>
      <c r="D120" s="2" t="s">
        <v>30</v>
      </c>
      <c r="E120" s="2">
        <v>1300</v>
      </c>
      <c r="F120" s="2">
        <v>700</v>
      </c>
      <c r="G120" s="2">
        <v>0</v>
      </c>
      <c r="H120" s="2">
        <v>38</v>
      </c>
      <c r="I120" s="8">
        <v>0.91</v>
      </c>
      <c r="J120" s="8">
        <v>0.66</v>
      </c>
      <c r="K120" s="8">
        <v>0.43</v>
      </c>
      <c r="L120" s="8">
        <v>0.54</v>
      </c>
      <c r="M120" s="16">
        <v>5</v>
      </c>
      <c r="N120" s="16">
        <v>5</v>
      </c>
      <c r="O120" s="16">
        <v>5</v>
      </c>
      <c r="P120" s="16">
        <v>9</v>
      </c>
      <c r="Q120" s="16">
        <v>7</v>
      </c>
      <c r="R120" s="2">
        <v>55</v>
      </c>
    </row>
    <row r="121" spans="1:18" x14ac:dyDescent="0.25">
      <c r="A121" s="2">
        <v>2028</v>
      </c>
      <c r="B121" s="2" t="s">
        <v>19</v>
      </c>
      <c r="C121" s="2">
        <v>12</v>
      </c>
      <c r="D121" s="2" t="s">
        <v>30</v>
      </c>
      <c r="E121" s="2">
        <v>1000</v>
      </c>
      <c r="F121" s="2">
        <v>950</v>
      </c>
      <c r="G121" s="2">
        <v>0</v>
      </c>
      <c r="H121" s="2">
        <v>5</v>
      </c>
      <c r="I121" s="8">
        <v>0.77</v>
      </c>
      <c r="J121" s="8">
        <v>0.93</v>
      </c>
      <c r="K121" s="8">
        <v>0.92</v>
      </c>
      <c r="L121" s="8">
        <v>0.61</v>
      </c>
      <c r="M121" s="16">
        <v>7</v>
      </c>
      <c r="N121" s="16">
        <v>5</v>
      </c>
      <c r="O121" s="16">
        <v>6</v>
      </c>
      <c r="P121" s="16">
        <v>9</v>
      </c>
      <c r="Q121" s="16">
        <v>10</v>
      </c>
      <c r="R121" s="2">
        <v>55</v>
      </c>
    </row>
    <row r="122" spans="1:18" x14ac:dyDescent="0.25">
      <c r="A122" s="2">
        <v>2029</v>
      </c>
      <c r="B122" s="2" t="s">
        <v>8</v>
      </c>
      <c r="C122" s="2">
        <v>1</v>
      </c>
      <c r="D122" s="2" t="s">
        <v>30</v>
      </c>
      <c r="E122" s="2">
        <v>800</v>
      </c>
      <c r="F122" s="2">
        <v>1100</v>
      </c>
      <c r="G122" s="2">
        <v>73</v>
      </c>
      <c r="H122" s="2">
        <v>7</v>
      </c>
      <c r="I122" s="8">
        <v>0.74</v>
      </c>
      <c r="J122" s="8">
        <v>0.82</v>
      </c>
      <c r="K122" s="8">
        <v>0.75</v>
      </c>
      <c r="L122" s="8">
        <v>0.88</v>
      </c>
      <c r="M122" s="16">
        <v>10</v>
      </c>
      <c r="N122" s="16">
        <v>10</v>
      </c>
      <c r="O122" s="16">
        <v>9</v>
      </c>
      <c r="P122" s="16">
        <v>9</v>
      </c>
      <c r="Q122" s="16">
        <v>6</v>
      </c>
      <c r="R122" s="2">
        <v>45</v>
      </c>
    </row>
    <row r="123" spans="1:18" x14ac:dyDescent="0.25">
      <c r="A123" s="2">
        <v>2029</v>
      </c>
      <c r="B123" s="2" t="s">
        <v>9</v>
      </c>
      <c r="C123" s="2">
        <v>2</v>
      </c>
      <c r="D123" s="2" t="s">
        <v>30</v>
      </c>
      <c r="E123" s="2">
        <v>700</v>
      </c>
      <c r="F123" s="2">
        <v>900</v>
      </c>
      <c r="G123" s="2">
        <v>68</v>
      </c>
      <c r="H123" s="2">
        <v>8</v>
      </c>
      <c r="I123" s="8">
        <v>0.42</v>
      </c>
      <c r="J123" s="8">
        <v>0.92</v>
      </c>
      <c r="K123" s="8">
        <v>0.86</v>
      </c>
      <c r="L123" s="8">
        <v>0.85</v>
      </c>
      <c r="M123" s="16">
        <v>8</v>
      </c>
      <c r="N123" s="16">
        <v>6</v>
      </c>
      <c r="O123" s="16">
        <v>6</v>
      </c>
      <c r="P123" s="16">
        <v>9</v>
      </c>
      <c r="Q123" s="16">
        <v>6</v>
      </c>
      <c r="R123" s="2">
        <v>45</v>
      </c>
    </row>
    <row r="124" spans="1:18" x14ac:dyDescent="0.25">
      <c r="A124" s="2">
        <v>2029</v>
      </c>
      <c r="B124" s="2" t="s">
        <v>10</v>
      </c>
      <c r="C124" s="2">
        <v>3</v>
      </c>
      <c r="D124" s="2" t="s">
        <v>30</v>
      </c>
      <c r="E124" s="2">
        <v>900</v>
      </c>
      <c r="F124" s="2">
        <v>700</v>
      </c>
      <c r="G124" s="2">
        <v>60</v>
      </c>
      <c r="H124" s="2">
        <v>10</v>
      </c>
      <c r="I124" s="8">
        <v>1</v>
      </c>
      <c r="J124" s="8">
        <v>0.88</v>
      </c>
      <c r="K124" s="8">
        <v>0.75</v>
      </c>
      <c r="L124" s="8">
        <v>0.49</v>
      </c>
      <c r="M124" s="16">
        <v>6</v>
      </c>
      <c r="N124" s="16">
        <v>9</v>
      </c>
      <c r="O124" s="16">
        <v>9</v>
      </c>
      <c r="P124" s="16">
        <v>5</v>
      </c>
      <c r="Q124" s="16">
        <v>6</v>
      </c>
      <c r="R124" s="2">
        <v>45</v>
      </c>
    </row>
    <row r="125" spans="1:18" x14ac:dyDescent="0.25">
      <c r="A125" s="2">
        <v>2029</v>
      </c>
      <c r="B125" s="2" t="s">
        <v>11</v>
      </c>
      <c r="C125" s="2">
        <v>4</v>
      </c>
      <c r="D125" s="2" t="s">
        <v>30</v>
      </c>
      <c r="E125" s="2">
        <v>1100</v>
      </c>
      <c r="F125" s="2">
        <v>500</v>
      </c>
      <c r="G125" s="2">
        <v>50</v>
      </c>
      <c r="H125" s="2">
        <v>25</v>
      </c>
      <c r="I125" s="8">
        <v>0.71</v>
      </c>
      <c r="J125" s="8">
        <v>0.69</v>
      </c>
      <c r="K125" s="8">
        <v>0.91</v>
      </c>
      <c r="L125" s="8">
        <v>0.7</v>
      </c>
      <c r="M125" s="16">
        <v>8</v>
      </c>
      <c r="N125" s="16">
        <v>5</v>
      </c>
      <c r="O125" s="16">
        <v>8</v>
      </c>
      <c r="P125" s="16">
        <v>6</v>
      </c>
      <c r="Q125" s="16">
        <v>8</v>
      </c>
      <c r="R125" s="2">
        <v>45</v>
      </c>
    </row>
    <row r="126" spans="1:18" x14ac:dyDescent="0.25">
      <c r="A126" s="2">
        <v>2029</v>
      </c>
      <c r="B126" s="2" t="s">
        <v>12</v>
      </c>
      <c r="C126" s="2">
        <v>5</v>
      </c>
      <c r="D126" s="2" t="s">
        <v>30</v>
      </c>
      <c r="E126" s="2">
        <v>1050</v>
      </c>
      <c r="F126" s="2">
        <v>800</v>
      </c>
      <c r="G126" s="2">
        <v>45</v>
      </c>
      <c r="H126" s="2">
        <v>27</v>
      </c>
      <c r="I126" s="8">
        <v>0.47</v>
      </c>
      <c r="J126" s="8">
        <v>0.85</v>
      </c>
      <c r="K126" s="8">
        <v>0.59</v>
      </c>
      <c r="L126" s="8">
        <v>0.9</v>
      </c>
      <c r="M126" s="16">
        <v>9</v>
      </c>
      <c r="N126" s="16">
        <v>9</v>
      </c>
      <c r="O126" s="16">
        <v>9</v>
      </c>
      <c r="P126" s="16">
        <v>10</v>
      </c>
      <c r="Q126" s="16">
        <v>6</v>
      </c>
      <c r="R126" s="2">
        <v>45</v>
      </c>
    </row>
    <row r="127" spans="1:18" x14ac:dyDescent="0.25">
      <c r="A127" s="2">
        <v>2029</v>
      </c>
      <c r="B127" s="2" t="s">
        <v>13</v>
      </c>
      <c r="C127" s="2">
        <v>6</v>
      </c>
      <c r="D127" s="2" t="s">
        <v>30</v>
      </c>
      <c r="E127" s="2">
        <v>1300</v>
      </c>
      <c r="F127" s="2">
        <v>600</v>
      </c>
      <c r="G127" s="2">
        <v>38</v>
      </c>
      <c r="H127" s="2">
        <v>33</v>
      </c>
      <c r="I127" s="8">
        <v>0.49</v>
      </c>
      <c r="J127" s="8">
        <v>0.49</v>
      </c>
      <c r="K127" s="8">
        <v>0.93</v>
      </c>
      <c r="L127" s="8">
        <v>0.89</v>
      </c>
      <c r="M127" s="16">
        <v>5</v>
      </c>
      <c r="N127" s="16">
        <v>6</v>
      </c>
      <c r="O127" s="16">
        <v>6</v>
      </c>
      <c r="P127" s="16">
        <v>7</v>
      </c>
      <c r="Q127" s="16">
        <v>7</v>
      </c>
      <c r="R127" s="2">
        <v>45</v>
      </c>
    </row>
    <row r="128" spans="1:18" x14ac:dyDescent="0.25">
      <c r="A128" s="2">
        <v>2029</v>
      </c>
      <c r="B128" s="2" t="s">
        <v>14</v>
      </c>
      <c r="C128" s="2">
        <v>7</v>
      </c>
      <c r="D128" s="2" t="s">
        <v>30</v>
      </c>
      <c r="E128" s="2">
        <v>1400</v>
      </c>
      <c r="F128" s="2">
        <v>1000</v>
      </c>
      <c r="G128" s="2">
        <v>30</v>
      </c>
      <c r="H128" s="2">
        <v>41</v>
      </c>
      <c r="I128" s="8">
        <v>0.79</v>
      </c>
      <c r="J128" s="8">
        <v>0.57999999999999996</v>
      </c>
      <c r="K128" s="8">
        <v>0.88</v>
      </c>
      <c r="L128" s="8">
        <v>0.76</v>
      </c>
      <c r="M128" s="16">
        <v>9</v>
      </c>
      <c r="N128" s="16">
        <v>8</v>
      </c>
      <c r="O128" s="16">
        <v>6</v>
      </c>
      <c r="P128" s="16">
        <v>5</v>
      </c>
      <c r="Q128" s="16">
        <v>10</v>
      </c>
      <c r="R128" s="2">
        <v>45</v>
      </c>
    </row>
    <row r="129" spans="1:18" x14ac:dyDescent="0.25">
      <c r="A129" s="2">
        <v>2029</v>
      </c>
      <c r="B129" s="2" t="s">
        <v>15</v>
      </c>
      <c r="C129" s="2">
        <v>8</v>
      </c>
      <c r="D129" s="2" t="s">
        <v>30</v>
      </c>
      <c r="E129" s="2">
        <v>1200</v>
      </c>
      <c r="F129" s="2">
        <v>1300</v>
      </c>
      <c r="G129" s="2">
        <v>25</v>
      </c>
      <c r="H129" s="2">
        <v>55</v>
      </c>
      <c r="I129" s="8">
        <v>0.84</v>
      </c>
      <c r="J129" s="8">
        <v>0.63</v>
      </c>
      <c r="K129" s="8">
        <v>0.54</v>
      </c>
      <c r="L129" s="8">
        <v>0.56000000000000005</v>
      </c>
      <c r="M129" s="16">
        <v>5</v>
      </c>
      <c r="N129" s="16">
        <v>8</v>
      </c>
      <c r="O129" s="16">
        <v>7</v>
      </c>
      <c r="P129" s="16">
        <v>5</v>
      </c>
      <c r="Q129" s="16">
        <v>6</v>
      </c>
      <c r="R129" s="2">
        <v>45</v>
      </c>
    </row>
    <row r="130" spans="1:18" x14ac:dyDescent="0.25">
      <c r="A130" s="2">
        <v>2029</v>
      </c>
      <c r="B130" s="2" t="s">
        <v>16</v>
      </c>
      <c r="C130" s="2">
        <v>9</v>
      </c>
      <c r="D130" s="2" t="s">
        <v>30</v>
      </c>
      <c r="E130" s="2">
        <v>1000</v>
      </c>
      <c r="F130" s="2">
        <v>800</v>
      </c>
      <c r="G130" s="2">
        <v>20</v>
      </c>
      <c r="H130" s="2">
        <v>55</v>
      </c>
      <c r="I130" s="8">
        <v>0.68</v>
      </c>
      <c r="J130" s="8">
        <v>0.7</v>
      </c>
      <c r="K130" s="8">
        <v>0.62</v>
      </c>
      <c r="L130" s="8">
        <v>0.65</v>
      </c>
      <c r="M130" s="16">
        <v>6</v>
      </c>
      <c r="N130" s="16">
        <v>9</v>
      </c>
      <c r="O130" s="16">
        <v>10</v>
      </c>
      <c r="P130" s="16">
        <v>7</v>
      </c>
      <c r="Q130" s="16">
        <v>5</v>
      </c>
      <c r="R130" s="2">
        <v>45</v>
      </c>
    </row>
    <row r="131" spans="1:18" x14ac:dyDescent="0.25">
      <c r="A131" s="2">
        <v>2029</v>
      </c>
      <c r="B131" s="2" t="s">
        <v>17</v>
      </c>
      <c r="C131" s="2">
        <v>10</v>
      </c>
      <c r="D131" s="2" t="s">
        <v>30</v>
      </c>
      <c r="E131" s="2">
        <v>1300</v>
      </c>
      <c r="F131" s="2">
        <v>1000</v>
      </c>
      <c r="G131" s="2">
        <v>17</v>
      </c>
      <c r="H131" s="2">
        <v>58</v>
      </c>
      <c r="I131" s="8">
        <v>0.42</v>
      </c>
      <c r="J131" s="8">
        <v>0.67</v>
      </c>
      <c r="K131" s="8">
        <v>0.77</v>
      </c>
      <c r="L131" s="8">
        <v>0.97</v>
      </c>
      <c r="M131" s="16">
        <v>10</v>
      </c>
      <c r="N131" s="16">
        <v>5</v>
      </c>
      <c r="O131" s="16">
        <v>7</v>
      </c>
      <c r="P131" s="16">
        <v>10</v>
      </c>
      <c r="Q131" s="16">
        <v>6</v>
      </c>
      <c r="R131" s="2">
        <v>45</v>
      </c>
    </row>
    <row r="132" spans="1:18" x14ac:dyDescent="0.25">
      <c r="A132" s="2">
        <v>2029</v>
      </c>
      <c r="B132" s="2" t="s">
        <v>18</v>
      </c>
      <c r="C132" s="2">
        <v>11</v>
      </c>
      <c r="D132" s="2" t="s">
        <v>30</v>
      </c>
      <c r="E132" s="2">
        <v>1250</v>
      </c>
      <c r="F132" s="2">
        <v>900</v>
      </c>
      <c r="G132" s="2">
        <v>13</v>
      </c>
      <c r="H132" s="2">
        <v>60</v>
      </c>
      <c r="I132" s="8">
        <v>0.42</v>
      </c>
      <c r="J132" s="8">
        <v>0.59</v>
      </c>
      <c r="K132" s="8">
        <v>0.89</v>
      </c>
      <c r="L132" s="8">
        <v>0.43</v>
      </c>
      <c r="M132" s="16">
        <v>10</v>
      </c>
      <c r="N132" s="16">
        <v>5</v>
      </c>
      <c r="O132" s="16">
        <v>10</v>
      </c>
      <c r="P132" s="16">
        <v>5</v>
      </c>
      <c r="Q132" s="16">
        <v>5</v>
      </c>
      <c r="R132" s="2">
        <v>45</v>
      </c>
    </row>
    <row r="133" spans="1:18" x14ac:dyDescent="0.25">
      <c r="A133" s="2">
        <v>2029</v>
      </c>
      <c r="B133" s="2" t="s">
        <v>19</v>
      </c>
      <c r="C133" s="2">
        <v>12</v>
      </c>
      <c r="D133" s="2" t="s">
        <v>30</v>
      </c>
      <c r="E133" s="2">
        <v>1000</v>
      </c>
      <c r="F133" s="2">
        <v>1100</v>
      </c>
      <c r="G133" s="2">
        <v>5</v>
      </c>
      <c r="H133" s="2">
        <v>65</v>
      </c>
      <c r="I133" s="8">
        <v>0.56999999999999995</v>
      </c>
      <c r="J133" s="8">
        <v>0.95</v>
      </c>
      <c r="K133" s="8">
        <v>0.48</v>
      </c>
      <c r="L133" s="8">
        <v>0.65</v>
      </c>
      <c r="M133" s="16">
        <v>10</v>
      </c>
      <c r="N133" s="16">
        <v>8</v>
      </c>
      <c r="O133" s="16">
        <v>8</v>
      </c>
      <c r="P133" s="16">
        <v>8</v>
      </c>
      <c r="Q133" s="16">
        <v>10</v>
      </c>
      <c r="R133" s="2">
        <v>45</v>
      </c>
    </row>
    <row r="134" spans="1:18" x14ac:dyDescent="0.25">
      <c r="A134" s="2">
        <v>2030</v>
      </c>
      <c r="B134" s="2" t="s">
        <v>8</v>
      </c>
      <c r="C134" s="2">
        <v>1</v>
      </c>
      <c r="D134" s="2" t="s">
        <v>30</v>
      </c>
      <c r="E134" s="2">
        <v>900</v>
      </c>
      <c r="F134" s="2">
        <v>800</v>
      </c>
      <c r="G134" s="2">
        <v>68</v>
      </c>
      <c r="H134" s="2">
        <v>0</v>
      </c>
      <c r="I134" s="8">
        <v>0.77</v>
      </c>
      <c r="J134" s="8">
        <v>0.86</v>
      </c>
      <c r="K134" s="8">
        <v>0.99</v>
      </c>
      <c r="L134" s="8">
        <v>0.52</v>
      </c>
      <c r="M134" s="16">
        <v>8</v>
      </c>
      <c r="N134" s="16">
        <v>7</v>
      </c>
      <c r="O134" s="16">
        <v>9</v>
      </c>
      <c r="P134" s="16">
        <v>10</v>
      </c>
      <c r="Q134" s="16">
        <v>5</v>
      </c>
      <c r="R134" s="2">
        <v>25</v>
      </c>
    </row>
    <row r="135" spans="1:18" x14ac:dyDescent="0.25">
      <c r="A135" s="2">
        <v>2030</v>
      </c>
      <c r="B135" s="2" t="s">
        <v>9</v>
      </c>
      <c r="C135" s="2">
        <v>2</v>
      </c>
      <c r="D135" s="2" t="s">
        <v>30</v>
      </c>
      <c r="E135" s="2">
        <v>1050</v>
      </c>
      <c r="F135" s="2">
        <v>950</v>
      </c>
      <c r="G135" s="2">
        <v>22</v>
      </c>
      <c r="H135" s="2">
        <v>15</v>
      </c>
      <c r="I135" s="8">
        <v>0.98</v>
      </c>
      <c r="J135" s="8">
        <v>0.83</v>
      </c>
      <c r="K135" s="8">
        <v>1</v>
      </c>
      <c r="L135" s="8">
        <v>0.68</v>
      </c>
      <c r="M135" s="16">
        <v>9</v>
      </c>
      <c r="N135" s="16">
        <v>6</v>
      </c>
      <c r="O135" s="16">
        <v>5</v>
      </c>
      <c r="P135" s="16">
        <v>6</v>
      </c>
      <c r="Q135" s="16">
        <v>9</v>
      </c>
      <c r="R135" s="2">
        <v>25</v>
      </c>
    </row>
    <row r="136" spans="1:18" x14ac:dyDescent="0.25">
      <c r="A136" s="2">
        <v>2030</v>
      </c>
      <c r="B136" s="2" t="s">
        <v>10</v>
      </c>
      <c r="C136" s="2">
        <v>3</v>
      </c>
      <c r="D136" s="2" t="s">
        <v>30</v>
      </c>
      <c r="E136" s="2">
        <v>1000</v>
      </c>
      <c r="F136" s="2">
        <v>700</v>
      </c>
      <c r="G136" s="2">
        <v>18</v>
      </c>
      <c r="H136" s="2">
        <v>27</v>
      </c>
      <c r="I136" s="8">
        <v>0.78</v>
      </c>
      <c r="J136" s="8">
        <v>0.43</v>
      </c>
      <c r="K136" s="8">
        <v>0.61</v>
      </c>
      <c r="L136" s="8">
        <v>0.48</v>
      </c>
      <c r="M136" s="16">
        <v>9</v>
      </c>
      <c r="N136" s="16">
        <v>5</v>
      </c>
      <c r="O136" s="16">
        <v>9</v>
      </c>
      <c r="P136" s="16">
        <v>8</v>
      </c>
      <c r="Q136" s="16">
        <v>10</v>
      </c>
      <c r="R136" s="2">
        <v>25</v>
      </c>
    </row>
    <row r="137" spans="1:18" x14ac:dyDescent="0.25">
      <c r="A137" s="2">
        <v>2030</v>
      </c>
      <c r="B137" s="2" t="s">
        <v>11</v>
      </c>
      <c r="C137" s="2">
        <v>4</v>
      </c>
      <c r="D137" s="2" t="s">
        <v>30</v>
      </c>
      <c r="E137" s="2">
        <v>1150</v>
      </c>
      <c r="F137" s="2">
        <v>850</v>
      </c>
      <c r="G137" s="2">
        <v>16</v>
      </c>
      <c r="H137" s="2">
        <v>8</v>
      </c>
      <c r="I137" s="8">
        <v>0.41</v>
      </c>
      <c r="J137" s="8">
        <v>0.6</v>
      </c>
      <c r="K137" s="8">
        <v>0.66</v>
      </c>
      <c r="L137" s="8">
        <v>0.49</v>
      </c>
      <c r="M137" s="16">
        <v>10</v>
      </c>
      <c r="N137" s="16">
        <v>9</v>
      </c>
      <c r="O137" s="16">
        <v>8</v>
      </c>
      <c r="P137" s="16">
        <v>9</v>
      </c>
      <c r="Q137" s="16">
        <v>10</v>
      </c>
      <c r="R137" s="2">
        <v>25</v>
      </c>
    </row>
    <row r="138" spans="1:18" x14ac:dyDescent="0.25">
      <c r="A138" s="2">
        <v>2030</v>
      </c>
      <c r="B138" s="2" t="s">
        <v>12</v>
      </c>
      <c r="C138" s="2">
        <v>5</v>
      </c>
      <c r="D138" s="2" t="s">
        <v>30</v>
      </c>
      <c r="E138" s="2">
        <v>1050</v>
      </c>
      <c r="F138" s="2">
        <v>600</v>
      </c>
      <c r="G138" s="2">
        <v>16</v>
      </c>
      <c r="H138" s="2">
        <v>18</v>
      </c>
      <c r="I138" s="8">
        <v>0.54</v>
      </c>
      <c r="J138" s="8">
        <v>0.85</v>
      </c>
      <c r="K138" s="8">
        <v>0.84</v>
      </c>
      <c r="L138" s="8">
        <v>0.43</v>
      </c>
      <c r="M138" s="16">
        <v>9</v>
      </c>
      <c r="N138" s="16">
        <v>9</v>
      </c>
      <c r="O138" s="16">
        <v>8</v>
      </c>
      <c r="P138" s="16">
        <v>5</v>
      </c>
      <c r="Q138" s="16">
        <v>6</v>
      </c>
      <c r="R138" s="2">
        <v>25</v>
      </c>
    </row>
    <row r="139" spans="1:18" x14ac:dyDescent="0.25">
      <c r="A139" s="2">
        <v>2030</v>
      </c>
      <c r="B139" s="2" t="s">
        <v>13</v>
      </c>
      <c r="C139" s="2">
        <v>6</v>
      </c>
      <c r="D139" s="2" t="s">
        <v>30</v>
      </c>
      <c r="E139" s="2">
        <v>1250</v>
      </c>
      <c r="F139" s="2">
        <v>1000</v>
      </c>
      <c r="G139" s="2">
        <v>15</v>
      </c>
      <c r="H139" s="2">
        <v>13</v>
      </c>
      <c r="I139" s="8">
        <v>0.93</v>
      </c>
      <c r="J139" s="8">
        <v>0.5</v>
      </c>
      <c r="K139" s="8">
        <v>0.56000000000000005</v>
      </c>
      <c r="L139" s="8">
        <v>0.4</v>
      </c>
      <c r="M139" s="16">
        <v>10</v>
      </c>
      <c r="N139" s="16">
        <v>7</v>
      </c>
      <c r="O139" s="16">
        <v>8</v>
      </c>
      <c r="P139" s="16">
        <v>10</v>
      </c>
      <c r="Q139" s="16">
        <v>7</v>
      </c>
      <c r="R139" s="2">
        <v>25</v>
      </c>
    </row>
    <row r="140" spans="1:18" x14ac:dyDescent="0.25">
      <c r="A140" s="2">
        <v>2030</v>
      </c>
      <c r="B140" s="2" t="s">
        <v>14</v>
      </c>
      <c r="C140" s="2">
        <v>7</v>
      </c>
      <c r="D140" s="2" t="s">
        <v>30</v>
      </c>
      <c r="E140" s="2">
        <v>1200</v>
      </c>
      <c r="F140" s="2">
        <v>750</v>
      </c>
      <c r="G140" s="2">
        <v>14</v>
      </c>
      <c r="H140" s="2">
        <v>20</v>
      </c>
      <c r="I140" s="8">
        <v>0.78</v>
      </c>
      <c r="J140" s="8">
        <v>0.66</v>
      </c>
      <c r="K140" s="8">
        <v>0.62</v>
      </c>
      <c r="L140" s="8">
        <v>0.57999999999999996</v>
      </c>
      <c r="M140" s="16">
        <v>10</v>
      </c>
      <c r="N140" s="16">
        <v>6</v>
      </c>
      <c r="O140" s="16">
        <v>10</v>
      </c>
      <c r="P140" s="16">
        <v>5</v>
      </c>
      <c r="Q140" s="16">
        <v>8</v>
      </c>
      <c r="R140" s="2">
        <v>25</v>
      </c>
    </row>
    <row r="141" spans="1:18" x14ac:dyDescent="0.25">
      <c r="A141" s="2">
        <v>2030</v>
      </c>
      <c r="B141" s="2" t="s">
        <v>15</v>
      </c>
      <c r="C141" s="2">
        <v>8</v>
      </c>
      <c r="D141" s="2" t="s">
        <v>30</v>
      </c>
      <c r="E141" s="2">
        <v>1350</v>
      </c>
      <c r="F141" s="2">
        <v>900</v>
      </c>
      <c r="G141" s="2">
        <v>12</v>
      </c>
      <c r="H141" s="2">
        <v>20</v>
      </c>
      <c r="I141" s="8">
        <v>0.53</v>
      </c>
      <c r="J141" s="8">
        <v>0.75</v>
      </c>
      <c r="K141" s="8">
        <v>0.9</v>
      </c>
      <c r="L141" s="8">
        <v>0.59</v>
      </c>
      <c r="M141" s="16">
        <v>10</v>
      </c>
      <c r="N141" s="16">
        <v>5</v>
      </c>
      <c r="O141" s="16">
        <v>10</v>
      </c>
      <c r="P141" s="16">
        <v>6</v>
      </c>
      <c r="Q141" s="16">
        <v>9</v>
      </c>
      <c r="R141" s="2">
        <v>25</v>
      </c>
    </row>
    <row r="142" spans="1:18" x14ac:dyDescent="0.25">
      <c r="A142" s="2">
        <v>2030</v>
      </c>
      <c r="B142" s="2" t="s">
        <v>16</v>
      </c>
      <c r="C142" s="2">
        <v>9</v>
      </c>
      <c r="D142" s="2" t="s">
        <v>30</v>
      </c>
      <c r="E142" s="2">
        <v>1300</v>
      </c>
      <c r="F142" s="2">
        <v>650</v>
      </c>
      <c r="G142" s="2">
        <v>9</v>
      </c>
      <c r="H142" s="2">
        <v>18</v>
      </c>
      <c r="I142" s="8">
        <v>0.92</v>
      </c>
      <c r="J142" s="8">
        <v>0.52</v>
      </c>
      <c r="K142" s="8">
        <v>0.83</v>
      </c>
      <c r="L142" s="8">
        <v>0.72</v>
      </c>
      <c r="M142" s="16">
        <v>10</v>
      </c>
      <c r="N142" s="16">
        <v>10</v>
      </c>
      <c r="O142" s="16">
        <v>8</v>
      </c>
      <c r="P142" s="16">
        <v>10</v>
      </c>
      <c r="Q142" s="16">
        <v>8</v>
      </c>
      <c r="R142" s="2">
        <v>25</v>
      </c>
    </row>
    <row r="143" spans="1:18" x14ac:dyDescent="0.25">
      <c r="A143" s="2">
        <v>2030</v>
      </c>
      <c r="B143" s="2" t="s">
        <v>17</v>
      </c>
      <c r="C143" s="2">
        <v>10</v>
      </c>
      <c r="D143" s="2" t="s">
        <v>30</v>
      </c>
      <c r="E143" s="2">
        <v>1450</v>
      </c>
      <c r="F143" s="2">
        <v>1050</v>
      </c>
      <c r="G143" s="2">
        <v>7</v>
      </c>
      <c r="H143" s="2">
        <v>25</v>
      </c>
      <c r="I143" s="8">
        <v>0.99</v>
      </c>
      <c r="J143" s="8">
        <v>0.56999999999999995</v>
      </c>
      <c r="K143" s="8">
        <v>0.47</v>
      </c>
      <c r="L143" s="8">
        <v>0.43</v>
      </c>
      <c r="M143" s="16">
        <v>6</v>
      </c>
      <c r="N143" s="16">
        <v>8</v>
      </c>
      <c r="O143" s="16">
        <v>9</v>
      </c>
      <c r="P143" s="16">
        <v>6</v>
      </c>
      <c r="Q143" s="16">
        <v>7</v>
      </c>
      <c r="R143" s="2">
        <v>25</v>
      </c>
    </row>
    <row r="144" spans="1:18" x14ac:dyDescent="0.25">
      <c r="A144" s="2">
        <v>2030</v>
      </c>
      <c r="B144" s="2" t="s">
        <v>18</v>
      </c>
      <c r="C144" s="2">
        <v>11</v>
      </c>
      <c r="D144" s="2" t="s">
        <v>30</v>
      </c>
      <c r="E144" s="2">
        <v>1300</v>
      </c>
      <c r="F144" s="2">
        <v>800</v>
      </c>
      <c r="G144" s="2">
        <v>3</v>
      </c>
      <c r="H144" s="2">
        <v>23</v>
      </c>
      <c r="I144" s="8">
        <v>0.43</v>
      </c>
      <c r="J144" s="8">
        <v>0.48</v>
      </c>
      <c r="K144" s="8">
        <v>0.8</v>
      </c>
      <c r="L144" s="8">
        <v>0.6</v>
      </c>
      <c r="M144" s="16">
        <v>8</v>
      </c>
      <c r="N144" s="16">
        <v>5</v>
      </c>
      <c r="O144" s="16">
        <v>10</v>
      </c>
      <c r="P144" s="16">
        <v>5</v>
      </c>
      <c r="Q144" s="16">
        <v>9</v>
      </c>
      <c r="R144" s="2">
        <v>25</v>
      </c>
    </row>
    <row r="145" spans="1:18" x14ac:dyDescent="0.25">
      <c r="A145" s="2">
        <v>2030</v>
      </c>
      <c r="B145" s="2" t="s">
        <v>19</v>
      </c>
      <c r="C145" s="2">
        <v>12</v>
      </c>
      <c r="D145" s="2" t="s">
        <v>30</v>
      </c>
      <c r="E145" s="2">
        <v>1350</v>
      </c>
      <c r="F145" s="2">
        <v>950</v>
      </c>
      <c r="G145" s="2">
        <v>0</v>
      </c>
      <c r="H145" s="2">
        <v>13</v>
      </c>
      <c r="I145" s="8">
        <v>0.48</v>
      </c>
      <c r="J145" s="8">
        <v>0.93</v>
      </c>
      <c r="K145" s="8">
        <v>0.75</v>
      </c>
      <c r="L145" s="8">
        <v>0.61</v>
      </c>
      <c r="M145" s="16">
        <v>9</v>
      </c>
      <c r="N145" s="16">
        <v>10</v>
      </c>
      <c r="O145" s="16">
        <v>5</v>
      </c>
      <c r="P145" s="16">
        <v>7</v>
      </c>
      <c r="Q145" s="16">
        <v>8</v>
      </c>
      <c r="R145" s="2">
        <v>25</v>
      </c>
    </row>
  </sheetData>
  <sortState xmlns:xlrd2="http://schemas.microsoft.com/office/spreadsheetml/2017/richdata2" ref="H98:H109">
    <sortCondition descending="1" ref="H98:H109"/>
  </sortState>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B1:R20"/>
  <sheetViews>
    <sheetView workbookViewId="0">
      <pane ySplit="1" topLeftCell="A2" activePane="bottomLeft" state="frozen"/>
      <selection pane="bottomLeft" activeCell="E8" sqref="E8:M10"/>
    </sheetView>
  </sheetViews>
  <sheetFormatPr defaultRowHeight="15" x14ac:dyDescent="0.25"/>
  <sheetData>
    <row r="1" spans="2:18" x14ac:dyDescent="0.25">
      <c r="B1" s="1" t="s">
        <v>0</v>
      </c>
      <c r="C1" s="2" t="s">
        <v>1</v>
      </c>
      <c r="D1" s="2" t="s">
        <v>2</v>
      </c>
      <c r="E1" s="3" t="s">
        <v>3</v>
      </c>
      <c r="G1" s="2" t="s">
        <v>4</v>
      </c>
      <c r="H1" s="4"/>
      <c r="O1" t="s">
        <v>6</v>
      </c>
      <c r="R1" t="s">
        <v>5</v>
      </c>
    </row>
    <row r="2" spans="2:18" x14ac:dyDescent="0.25">
      <c r="B2" s="19" t="s">
        <v>78</v>
      </c>
      <c r="G2" s="2">
        <v>20</v>
      </c>
      <c r="H2" s="7">
        <v>1</v>
      </c>
      <c r="I2" s="2">
        <v>15</v>
      </c>
      <c r="J2" s="2">
        <v>135</v>
      </c>
      <c r="K2" s="2">
        <v>15</v>
      </c>
    </row>
    <row r="3" spans="2:18" x14ac:dyDescent="0.25">
      <c r="B3" s="20" t="s">
        <v>79</v>
      </c>
      <c r="G3" s="2"/>
      <c r="H3" s="4"/>
    </row>
    <row r="4" spans="2:18" x14ac:dyDescent="0.25">
      <c r="B4" s="21"/>
    </row>
    <row r="5" spans="2:18" x14ac:dyDescent="0.25">
      <c r="B5" s="22" t="s">
        <v>80</v>
      </c>
    </row>
    <row r="6" spans="2:18" x14ac:dyDescent="0.25">
      <c r="B6" s="23" t="s">
        <v>81</v>
      </c>
    </row>
    <row r="7" spans="2:18" x14ac:dyDescent="0.25">
      <c r="B7" s="21"/>
    </row>
    <row r="8" spans="2:18" ht="15" customHeight="1" x14ac:dyDescent="0.25">
      <c r="B8" s="24" t="s">
        <v>82</v>
      </c>
    </row>
    <row r="9" spans="2:18" ht="15" customHeight="1" x14ac:dyDescent="0.25">
      <c r="B9" s="25" t="s">
        <v>83</v>
      </c>
    </row>
    <row r="10" spans="2:18" ht="15" customHeight="1" x14ac:dyDescent="0.25"/>
    <row r="11" spans="2:18" x14ac:dyDescent="0.25">
      <c r="B11" s="27" t="s">
        <v>84</v>
      </c>
    </row>
    <row r="12" spans="2:18" x14ac:dyDescent="0.25">
      <c r="B12" s="26" t="s">
        <v>85</v>
      </c>
    </row>
    <row r="13" spans="2:18" x14ac:dyDescent="0.25">
      <c r="B13" s="22" t="s">
        <v>80</v>
      </c>
    </row>
    <row r="15" spans="2:18" x14ac:dyDescent="0.25">
      <c r="B15" s="28" t="s">
        <v>86</v>
      </c>
    </row>
    <row r="16" spans="2:18" x14ac:dyDescent="0.25">
      <c r="B16" s="29" t="s">
        <v>87</v>
      </c>
    </row>
    <row r="17" spans="2:2" x14ac:dyDescent="0.25">
      <c r="B17" s="30" t="s">
        <v>88</v>
      </c>
    </row>
    <row r="19" spans="2:2" x14ac:dyDescent="0.25">
      <c r="B19" s="31" t="s">
        <v>89</v>
      </c>
    </row>
    <row r="20" spans="2:2" x14ac:dyDescent="0.25">
      <c r="B20" s="32" t="s">
        <v>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DASHBOARD DARK</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MUHAMMAD SALEEM MALIK</cp:lastModifiedBy>
  <dcterms:created xsi:type="dcterms:W3CDTF">2025-09-16T10:18:44Z</dcterms:created>
  <dcterms:modified xsi:type="dcterms:W3CDTF">2026-03-25T05:52:35Z</dcterms:modified>
</cp:coreProperties>
</file>