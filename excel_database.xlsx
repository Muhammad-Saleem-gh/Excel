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92msm\3D Objects\Applied\Done\"/>
    </mc:Choice>
  </mc:AlternateContent>
  <xr:revisionPtr revIDLastSave="0" documentId="13_ncr:1_{38B363E5-A19C-4795-B6AA-913CCBCFEDD0}" xr6:coauthVersionLast="47" xr6:coauthVersionMax="47" xr10:uidLastSave="{00000000-0000-0000-0000-000000000000}"/>
  <bookViews>
    <workbookView xWindow="-120" yWindow="-120" windowWidth="15600" windowHeight="11310" firstSheet="1" activeTab="1" xr2:uid="{FBEE0547-C1DD-4B7A-A3EB-2BA1446463BC}"/>
  </bookViews>
  <sheets>
    <sheet name="Script" sheetId="16" r:id="rId1"/>
    <sheet name="Client Form" sheetId="2" r:id="rId2"/>
    <sheet name="Database" sheetId="13" r:id="rId3"/>
    <sheet name="Report" sheetId="15" r:id="rId4"/>
  </sheets>
  <definedNames>
    <definedName name="clients">ClientData[Full Name]</definedName>
  </definedName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3" l="1"/>
  <c r="D13" i="2"/>
  <c r="G7" i="2"/>
  <c r="G5" i="2"/>
</calcChain>
</file>

<file path=xl/sharedStrings.xml><?xml version="1.0" encoding="utf-8"?>
<sst xmlns="http://schemas.openxmlformats.org/spreadsheetml/2006/main" count="83" uniqueCount="48">
  <si>
    <t>Client Form</t>
  </si>
  <si>
    <t>New Client Form</t>
  </si>
  <si>
    <t>Full Name</t>
  </si>
  <si>
    <t>Email</t>
  </si>
  <si>
    <t>Service</t>
  </si>
  <si>
    <t>Industry</t>
  </si>
  <si>
    <t>Date</t>
  </si>
  <si>
    <t>Notes</t>
  </si>
  <si>
    <t>Database</t>
  </si>
  <si>
    <t>Phil</t>
  </si>
  <si>
    <t>Excel</t>
  </si>
  <si>
    <t>Finance</t>
  </si>
  <si>
    <t>PivotTables</t>
  </si>
  <si>
    <t>Conor</t>
  </si>
  <si>
    <t>Power BI</t>
  </si>
  <si>
    <t>Technology</t>
  </si>
  <si>
    <t>Reporting</t>
  </si>
  <si>
    <t>David</t>
  </si>
  <si>
    <t>Power Query</t>
  </si>
  <si>
    <t>Retail</t>
  </si>
  <si>
    <t>Data cleaning automation</t>
  </si>
  <si>
    <t>Word</t>
  </si>
  <si>
    <t>Healthcare</t>
  </si>
  <si>
    <t>Chart design.</t>
  </si>
  <si>
    <t>Brian</t>
  </si>
  <si>
    <t>1:1 training and consulting.</t>
  </si>
  <si>
    <t>Jane</t>
  </si>
  <si>
    <t>Rupert</t>
  </si>
  <si>
    <t>Power Pivot</t>
  </si>
  <si>
    <t>Model development.</t>
  </si>
  <si>
    <t>Mary</t>
  </si>
  <si>
    <t>Messy data needs cleaning.</t>
  </si>
  <si>
    <t>Richard Ellis</t>
  </si>
  <si>
    <t>Excel Formulas</t>
  </si>
  <si>
    <t>LAMBDA custom functions.</t>
  </si>
  <si>
    <t>Client Reporting</t>
  </si>
  <si>
    <t>Count of Full Name</t>
  </si>
  <si>
    <t>Grand Total</t>
  </si>
  <si>
    <t>jane@example.com</t>
  </si>
  <si>
    <t>rupert@example.com</t>
  </si>
  <si>
    <t>mary@example.com</t>
  </si>
  <si>
    <t>Richard@example.com</t>
  </si>
  <si>
    <t>brian@example.com</t>
  </si>
  <si>
    <t>Phil@example.com</t>
  </si>
  <si>
    <t>Conor@example.com</t>
  </si>
  <si>
    <t>david@example.com</t>
  </si>
  <si>
    <t>Sam</t>
  </si>
  <si>
    <t>Sam@example.com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</si>
</sst>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  <font>
      <sz val="28"/>
      <color theme="0"/>
      <name val="Segoe UI Light"/>
      <family val="2"/>
    </font>
    <font>
      <sz val="11"/>
      <color theme="1" tint="0.14999847407452621"/>
      <name val="Segoe UI"/>
      <family val="2"/>
    </font>
    <font>
      <sz val="18"/>
      <color theme="0"/>
      <name val="Segoe UI"/>
      <family val="2"/>
    </font>
    <font>
      <sz val="11"/>
      <color rgb="FFC00000"/>
      <name val="Segoe UI"/>
      <family val="2"/>
    </font>
    <font>
      <sz val="12"/>
      <name val="Segoe UI"/>
      <family val="2"/>
    </font>
    <font>
      <sz val="1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0F551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7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1"/>
    <xf numFmtId="0" fontId="2" fillId="0" borderId="0" xfId="0" applyFont="1"/>
    <xf numFmtId="0" fontId="3" fillId="2" borderId="0" xfId="0" applyFont="1" applyFill="1" applyAlignment="1">
      <alignment vertical="center"/>
    </xf>
    <xf numFmtId="0" fontId="2" fillId="2" borderId="0" xfId="0" applyFont="1" applyFill="1"/>
    <xf numFmtId="14" fontId="2" fillId="0" borderId="0" xfId="0" applyNumberFormat="1" applyFont="1"/>
    <xf numFmtId="0" fontId="6" fillId="0" borderId="0" xfId="0" applyFont="1"/>
    <xf numFmtId="0" fontId="2" fillId="3" borderId="0" xfId="0" applyFont="1" applyFill="1"/>
    <xf numFmtId="0" fontId="4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14" fontId="2" fillId="3" borderId="0" xfId="0" applyNumberFormat="1" applyFont="1" applyFill="1" applyAlignment="1">
      <alignment horizontal="left" vertical="top"/>
    </xf>
    <xf numFmtId="0" fontId="4" fillId="3" borderId="0" xfId="0" applyFont="1" applyFill="1" applyAlignment="1">
      <alignment horizontal="right" vertical="center" indent="1"/>
    </xf>
    <xf numFmtId="0" fontId="4" fillId="3" borderId="0" xfId="0" applyFont="1" applyFill="1" applyAlignment="1">
      <alignment horizontal="right" vertical="top" indent="1"/>
    </xf>
    <xf numFmtId="0" fontId="5" fillId="4" borderId="0" xfId="0" applyFont="1" applyFill="1" applyAlignment="1">
      <alignment horizontal="centerContinuous" vertical="center"/>
    </xf>
    <xf numFmtId="0" fontId="2" fillId="0" borderId="0" xfId="0" applyFont="1" applyAlignment="1">
      <alignment horizontal="left"/>
    </xf>
    <xf numFmtId="0" fontId="0" fillId="0" borderId="1" xfId="0" applyBorder="1" applyAlignment="1" applyProtection="1">
      <alignment vertical="center"/>
      <protection locked="0"/>
    </xf>
    <xf numFmtId="165" fontId="2" fillId="0" borderId="1" xfId="0" applyNumberFormat="1" applyFont="1" applyBorder="1" applyAlignment="1" applyProtection="1">
      <alignment horizontal="left" vertical="center"/>
      <protection locked="0"/>
    </xf>
    <xf numFmtId="0" fontId="0" fillId="0" borderId="0" xfId="0" pivotButton="1"/>
    <xf numFmtId="0" fontId="7" fillId="0" borderId="0" xfId="0" applyFont="1" applyAlignment="1">
      <alignment vertical="center"/>
    </xf>
    <xf numFmtId="0" fontId="8" fillId="0" borderId="0" xfId="0" applyFont="1"/>
    <xf numFmtId="0" fontId="0" fillId="0" borderId="1" xfId="0" applyBorder="1" applyAlignment="1" applyProtection="1">
      <alignment vertical="top" wrapText="1"/>
      <protection locked="0"/>
    </xf>
  </cellXfs>
  <cellStyles count="2">
    <cellStyle name="Hyperlink" xfId="1" builtinId="8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left" vertical="bottom" textRotation="0" wrapText="0" relativeIndent="-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6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[excel_database.xlsx]Report!PivotTable1</c:name>
    <c:fmtId val="1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Report!$D$4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Report!$B$5:$C$14</c:f>
              <c:multiLvlStrCache>
                <c:ptCount val="9"/>
                <c:lvl>
                  <c:pt idx="0">
                    <c:v>Excel</c:v>
                  </c:pt>
                  <c:pt idx="1">
                    <c:v>Excel Formulas</c:v>
                  </c:pt>
                  <c:pt idx="2">
                    <c:v>Excel</c:v>
                  </c:pt>
                  <c:pt idx="3">
                    <c:v>Power Query</c:v>
                  </c:pt>
                  <c:pt idx="4">
                    <c:v>Word</c:v>
                  </c:pt>
                  <c:pt idx="5">
                    <c:v>Power Pivot</c:v>
                  </c:pt>
                  <c:pt idx="6">
                    <c:v>Power Query</c:v>
                  </c:pt>
                  <c:pt idx="7">
                    <c:v>Excel</c:v>
                  </c:pt>
                  <c:pt idx="8">
                    <c:v>Power BI</c:v>
                  </c:pt>
                </c:lvl>
                <c:lvl>
                  <c:pt idx="0">
                    <c:v>Finance</c:v>
                  </c:pt>
                  <c:pt idx="2">
                    <c:v>Healthcare</c:v>
                  </c:pt>
                  <c:pt idx="5">
                    <c:v>Retail</c:v>
                  </c:pt>
                  <c:pt idx="7">
                    <c:v>Technology</c:v>
                  </c:pt>
                </c:lvl>
              </c:multiLvlStrCache>
            </c:multiLvlStrRef>
          </c:cat>
          <c:val>
            <c:numRef>
              <c:f>Report!$D$5:$D$14</c:f>
              <c:numCache>
                <c:formatCode>General</c:formatCode>
                <c:ptCount val="9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AA-4AA6-8878-358FE338FE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648183088"/>
        <c:axId val="1648175408"/>
      </c:barChart>
      <c:catAx>
        <c:axId val="16481830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175408"/>
        <c:crosses val="autoZero"/>
        <c:auto val="1"/>
        <c:lblAlgn val="ctr"/>
        <c:lblOffset val="100"/>
        <c:noMultiLvlLbl val="0"/>
      </c:catAx>
      <c:valAx>
        <c:axId val="1648175408"/>
        <c:scaling>
          <c:orientation val="minMax"/>
          <c:max val="3"/>
        </c:scaling>
        <c:delete val="1"/>
        <c:axPos val="t"/>
        <c:numFmt formatCode="General" sourceLinked="1"/>
        <c:majorTickMark val="none"/>
        <c:minorTickMark val="none"/>
        <c:tickLblPos val="high"/>
        <c:crossAx val="164818308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hyperlink" Target="https://www.myonlinetraininghub.com/pivot-tables-explained-excel" TargetMode="External"/><Relationship Id="rId1" Type="http://schemas.openxmlformats.org/officeDocument/2006/relationships/chart" Target="../charts/chart1.xml"/><Relationship Id="rId4" Type="http://schemas.openxmlformats.org/officeDocument/2006/relationships/image" Target="../media/image6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71004</xdr:colOff>
      <xdr:row>50</xdr:row>
      <xdr:rowOff>116032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825C6A1-05F8-6751-CAE4-BF5D9145DE72}"/>
            </a:ext>
          </a:extLst>
        </xdr:cNvPr>
        <xdr:cNvSpPr txBox="1"/>
      </xdr:nvSpPr>
      <xdr:spPr>
        <a:xfrm>
          <a:off x="609600" y="190500"/>
          <a:ext cx="4947804" cy="945053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function main(workbook: ExcelScript.Workbook) {</a:t>
          </a: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let selectedSheet = workbook.getWorksheet("Client Form");</a:t>
          </a: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let databaseSheet = workbook.getWorksheet("Database");</a:t>
          </a: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let clientTable = databaseSheet.getTable("ClientData");</a:t>
          </a: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let tableBodyRange = clientTable.getRangeBetweenHeaderAndTotal();</a:t>
          </a:r>
        </a:p>
        <a:p>
          <a:b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AU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let rowCount = tableBodyRange.getRowCount();</a:t>
          </a: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let columnCount = tableBodyRange.getColumnCount();</a:t>
          </a:r>
        </a:p>
        <a:p>
          <a:b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AU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let firstRow = tableBodyRange.getRow(0);</a:t>
          </a: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let isFirstRowEmpty = firstRow.getValues()[0].every(value =&gt; value === "");</a:t>
          </a:r>
        </a:p>
        <a:p>
          <a:b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AU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let targetRowRange: ExcelScript.Range;</a:t>
          </a:r>
        </a:p>
        <a:p>
          <a:b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AU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if (isFirstRowEmpty) {</a:t>
          </a: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// Use the first row of the table</a:t>
          </a: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targetRowRange = tableBodyRange.getRow(0);</a:t>
          </a: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} else {</a:t>
          </a: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// Add a new row and use the last row</a:t>
          </a: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clientTable.addRow();</a:t>
          </a: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targetRowRange = clientTable.getRangeBetweenHeaderAndTotal().getRow(rowCount); // new last row</a:t>
          </a: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}</a:t>
          </a:r>
        </a:p>
        <a:p>
          <a:b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AU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// Source data from Client Form sheet</a:t>
          </a: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let valuesToCopy = [</a:t>
          </a: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selectedSheet.getRange("D5").getValue(),</a:t>
          </a: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selectedSheet.getRange("D7").getValue(),</a:t>
          </a: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selectedSheet.getRange("D9").getValue(),</a:t>
          </a: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selectedSheet.getRange("D11").getValue(),</a:t>
          </a: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selectedSheet.getRange("D13").getValue(), // Don't clear this one</a:t>
          </a: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selectedSheet.getRange("D15").getValue()</a:t>
          </a: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];</a:t>
          </a:r>
        </a:p>
        <a:p>
          <a:b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AU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// Paste values into the correct columns of the table row</a:t>
          </a: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for (let i = 0; i &lt; valuesToCopy.length; i++) {</a:t>
          </a: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targetRowRange.getCell(0, i).setValue(valuesToCopy[i]);</a:t>
          </a: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}</a:t>
          </a:r>
        </a:p>
        <a:p>
          <a:b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AU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// Clear form inputs (excluding D13)</a:t>
          </a: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["D5", "D7", "D9", "D11", "D15"].forEach(cell =&gt; {</a:t>
          </a: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selectedSheet.getRange(cell).clear(ExcelScript.ClearApplyTo.contents);</a:t>
          </a: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});</a:t>
          </a:r>
        </a:p>
        <a:p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}</a:t>
          </a:r>
        </a:p>
        <a:p>
          <a:b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AU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AU" sz="1100"/>
        </a:p>
      </xdr:txBody>
    </xdr:sp>
    <xdr:clientData/>
  </xdr:twoCellAnchor>
  <xdr:twoCellAnchor>
    <xdr:from>
      <xdr:col>10</xdr:col>
      <xdr:colOff>0</xdr:colOff>
      <xdr:row>1</xdr:row>
      <xdr:rowOff>0</xdr:rowOff>
    </xdr:from>
    <xdr:to>
      <xdr:col>12</xdr:col>
      <xdr:colOff>600075</xdr:colOff>
      <xdr:row>4</xdr:row>
      <xdr:rowOff>104775</xdr:rowOff>
    </xdr:to>
    <xdr:sp macro="" textlink="">
      <xdr:nvSpPr>
        <xdr:cNvPr id="3" name="Speech Bubble: Rectangle 2">
          <a:extLst>
            <a:ext uri="{FF2B5EF4-FFF2-40B4-BE49-F238E27FC236}">
              <a16:creationId xmlns:a16="http://schemas.microsoft.com/office/drawing/2014/main" id="{AF0CA2DD-9CCA-BAF3-7E81-A187E45BA06B}"/>
            </a:ext>
          </a:extLst>
        </xdr:cNvPr>
        <xdr:cNvSpPr/>
      </xdr:nvSpPr>
      <xdr:spPr>
        <a:xfrm>
          <a:off x="6096000" y="190500"/>
          <a:ext cx="1819275" cy="676275"/>
        </a:xfrm>
        <a:prstGeom prst="wedgeRectCallout">
          <a:avLst>
            <a:gd name="adj1" fmla="val -57363"/>
            <a:gd name="adj2" fmla="val -22967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100"/>
            <a:t>If you do not see the script in your Excel file, you can copy and past</a:t>
          </a:r>
          <a:r>
            <a:rPr lang="en-AU" sz="1100" baseline="0"/>
            <a:t>e it from here.</a:t>
          </a:r>
          <a:endParaRPr lang="en-A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321450</xdr:colOff>
      <xdr:row>2</xdr:row>
      <xdr:rowOff>54750</xdr:rowOff>
    </xdr:from>
    <xdr:to>
      <xdr:col>2</xdr:col>
      <xdr:colOff>733425</xdr:colOff>
      <xdr:row>2</xdr:row>
      <xdr:rowOff>466725</xdr:rowOff>
    </xdr:to>
    <xdr:pic>
      <xdr:nvPicPr>
        <xdr:cNvPr id="15" name="Graphic 14" descr="User with solid fill">
          <a:extLst>
            <a:ext uri="{FF2B5EF4-FFF2-40B4-BE49-F238E27FC236}">
              <a16:creationId xmlns:a16="http://schemas.microsoft.com/office/drawing/2014/main" id="{4FD7C1AA-50FC-3F96-5611-2DB52F8F0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78650" y="892950"/>
          <a:ext cx="411975" cy="411975"/>
        </a:xfrm>
        <a:prstGeom prst="rect">
          <a:avLst/>
        </a:prstGeom>
      </xdr:spPr>
    </xdr:pic>
    <xdr:clientData/>
  </xdr:twoCellAnchor>
  <xdr:twoCellAnchor>
    <xdr:from>
      <xdr:col>0</xdr:col>
      <xdr:colOff>531813</xdr:colOff>
      <xdr:row>1</xdr:row>
      <xdr:rowOff>182563</xdr:rowOff>
    </xdr:from>
    <xdr:to>
      <xdr:col>5</xdr:col>
      <xdr:colOff>32657</xdr:colOff>
      <xdr:row>18</xdr:row>
      <xdr:rowOff>23813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C0F79747-D576-DC4B-53A6-1FC30E6BA992}"/>
            </a:ext>
          </a:extLst>
        </xdr:cNvPr>
        <xdr:cNvSpPr/>
      </xdr:nvSpPr>
      <xdr:spPr>
        <a:xfrm>
          <a:off x="531813" y="803049"/>
          <a:ext cx="3849687" cy="5256893"/>
        </a:xfrm>
        <a:prstGeom prst="roundRect">
          <a:avLst>
            <a:gd name="adj" fmla="val 3252"/>
          </a:avLst>
        </a:prstGeom>
        <a:noFill/>
        <a:ln w="76200">
          <a:solidFill>
            <a:schemeClr val="bg1">
              <a:lumMod val="85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1107385</xdr:colOff>
      <xdr:row>15</xdr:row>
      <xdr:rowOff>161925</xdr:rowOff>
    </xdr:from>
    <xdr:to>
      <xdr:col>3</xdr:col>
      <xdr:colOff>2527300</xdr:colOff>
      <xdr:row>17</xdr:row>
      <xdr:rowOff>34925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342BFF5C-FB34-43E0-8762-C4606A7371CD}"/>
            </a:ext>
            <a:ext uri="{147F2762-F138-4A5C-976F-8EAC2B608ADB}">
              <a16:predDERef xmlns:a16="http://schemas.microsoft.com/office/drawing/2014/main" pred="{F0C5B381-33AC-705C-9351-10A6C2C6040A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8zNjVtb3RoLW15LnNoYXJlcG9pbnQuY29tLzp1Oi9nL3BlcnNvbmFsL215bmRhX3RyZWFjeV9teW9ubGluZXRyYWluaW5naHViX2NvbS9FZFhxbU5ONXJqOUp1WlJfRy1GaVJCUUJkZGxRMURvQWRzXzB0SU9UT3lWRUxn&quot;}"/>
            </a:ext>
          </a:extLst>
        </xdr:cNvPr>
        <xdr:cNvSpPr/>
      </xdr:nvSpPr>
      <xdr:spPr>
        <a:xfrm>
          <a:off x="2672798" y="5529055"/>
          <a:ext cx="1419915" cy="287131"/>
        </a:xfrm>
        <a:prstGeom prst="roundRect">
          <a:avLst/>
        </a:prstGeom>
        <a:ln/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US"/>
            <a:t>Copy to Database</a:t>
          </a:r>
        </a:p>
      </xdr:txBody>
    </xdr:sp>
    <xdr:clientData/>
  </xdr:twoCellAnchor>
  <xdr:twoCellAnchor>
    <xdr:from>
      <xdr:col>3</xdr:col>
      <xdr:colOff>1169579</xdr:colOff>
      <xdr:row>15</xdr:row>
      <xdr:rowOff>201940</xdr:rowOff>
    </xdr:from>
    <xdr:to>
      <xdr:col>3</xdr:col>
      <xdr:colOff>1380278</xdr:colOff>
      <xdr:row>16</xdr:row>
      <xdr:rowOff>201974</xdr:rowOff>
    </xdr:to>
    <xdr:pic>
      <xdr:nvPicPr>
        <xdr:cNvPr id="12" name="Graphic 11" descr="Badge Follow with solid fill">
          <a:extLst>
            <a:ext uri="{FF2B5EF4-FFF2-40B4-BE49-F238E27FC236}">
              <a16:creationId xmlns:a16="http://schemas.microsoft.com/office/drawing/2014/main" id="{556098D1-E98E-0A8D-0864-0DD9A8F2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734992" y="5569070"/>
          <a:ext cx="210699" cy="207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2</xdr:row>
      <xdr:rowOff>142874</xdr:rowOff>
    </xdr:from>
    <xdr:to>
      <xdr:col>8</xdr:col>
      <xdr:colOff>561975</xdr:colOff>
      <xdr:row>25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0E6326-849C-FEF0-306A-5825F2921D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14</xdr:row>
      <xdr:rowOff>38100</xdr:rowOff>
    </xdr:from>
    <xdr:to>
      <xdr:col>3</xdr:col>
      <xdr:colOff>762000</xdr:colOff>
      <xdr:row>17</xdr:row>
      <xdr:rowOff>0</xdr:rowOff>
    </xdr:to>
    <xdr:grpSp>
      <xdr:nvGrpSpPr>
        <xdr:cNvPr id="7" name="Group 6" hidden="1">
          <a:extLst>
            <a:ext uri="{FF2B5EF4-FFF2-40B4-BE49-F238E27FC236}">
              <a16:creationId xmlns:a16="http://schemas.microsoft.com/office/drawing/2014/main" id="{6D40FE7F-AF78-28C6-4013-16ACC4386C58}"/>
            </a:ext>
          </a:extLst>
        </xdr:cNvPr>
        <xdr:cNvGrpSpPr/>
      </xdr:nvGrpSpPr>
      <xdr:grpSpPr>
        <a:xfrm>
          <a:off x="606136" y="3138055"/>
          <a:ext cx="2545773" cy="533400"/>
          <a:chOff x="609600" y="3133725"/>
          <a:chExt cx="2438400" cy="533400"/>
        </a:xfrm>
      </xdr:grpSpPr>
      <xdr:sp macro="" textlink="">
        <xdr:nvSpPr>
          <xdr:cNvPr id="4" name="Speech Bubble: Rectangle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118354CE-4FC9-CB83-4443-3280E7CFE121}"/>
              </a:ext>
            </a:extLst>
          </xdr:cNvPr>
          <xdr:cNvSpPr/>
        </xdr:nvSpPr>
        <xdr:spPr>
          <a:xfrm>
            <a:off x="609600" y="3133725"/>
            <a:ext cx="2438400" cy="533400"/>
          </a:xfrm>
          <a:prstGeom prst="wedgeRectCallout">
            <a:avLst>
              <a:gd name="adj1" fmla="val -21520"/>
              <a:gd name="adj2" fmla="val -71429"/>
            </a:avLst>
          </a:prstGeom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horzOverflow="clip" lIns="540000" rtlCol="0" anchor="ctr"/>
          <a:lstStyle/>
          <a:p>
            <a:pPr algn="l"/>
            <a:r>
              <a:rPr lang="en-AU" sz="1100">
                <a:solidFill>
                  <a:schemeClr val="accent3">
                    <a:lumMod val="75000"/>
                  </a:schemeClr>
                </a:solidFill>
              </a:rPr>
              <a:t>Click</a:t>
            </a:r>
            <a:r>
              <a:rPr lang="en-AU" sz="1100" baseline="0">
                <a:solidFill>
                  <a:schemeClr val="accent3">
                    <a:lumMod val="75000"/>
                  </a:schemeClr>
                </a:solidFill>
              </a:rPr>
              <a:t> here to g</a:t>
            </a:r>
            <a:r>
              <a:rPr lang="en-AU" sz="1100">
                <a:solidFill>
                  <a:schemeClr val="accent3">
                    <a:lumMod val="75000"/>
                  </a:schemeClr>
                </a:solidFill>
              </a:rPr>
              <a:t>et started with PivotTables and Pivot Charts.</a:t>
            </a:r>
          </a:p>
        </xdr:txBody>
      </xdr:sp>
      <xdr:pic>
        <xdr:nvPicPr>
          <xdr:cNvPr id="6" name="Graphic 5" descr="Graduation cap with solid fill">
            <a:extLst>
              <a:ext uri="{FF2B5EF4-FFF2-40B4-BE49-F238E27FC236}">
                <a16:creationId xmlns:a16="http://schemas.microsoft.com/office/drawing/2014/main" id="{57014089-C201-6E27-BB6F-FA513647104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638175" y="3162300"/>
            <a:ext cx="457200" cy="457200"/>
          </a:xfrm>
          <a:prstGeom prst="rect">
            <a:avLst/>
          </a:prstGeom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ynda Treacy" refreshedDate="45883.538634722223" createdVersion="8" refreshedVersion="8" minRefreshableVersion="3" recordCount="10" xr:uid="{B0D4D316-B3CC-4BE8-BB93-2E829B82B26B}">
  <cacheSource type="worksheet">
    <worksheetSource name="ClientData"/>
  </cacheSource>
  <cacheFields count="6">
    <cacheField name="Full Name" numFmtId="0">
      <sharedItems/>
    </cacheField>
    <cacheField name="Email" numFmtId="0">
      <sharedItems/>
    </cacheField>
    <cacheField name="Service" numFmtId="0">
      <sharedItems count="6">
        <s v="Excel"/>
        <s v="Power BI"/>
        <s v="Power Query"/>
        <s v="Word"/>
        <s v="Power Pivot"/>
        <s v="Excel Formulas"/>
      </sharedItems>
    </cacheField>
    <cacheField name="Industry" numFmtId="0">
      <sharedItems count="4">
        <s v="Finance"/>
        <s v="Technology"/>
        <s v="Retail"/>
        <s v="Healthcare"/>
      </sharedItems>
    </cacheField>
    <cacheField name="Date" numFmtId="14">
      <sharedItems containsSemiMixedTypes="0" containsNonDate="0" containsDate="1" containsString="0" minDate="2025-08-11T00:00:00" maxDate="2025-08-15T00:00:00"/>
    </cacheField>
    <cacheField name="No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Phil"/>
    <s v="Phil@moth.com"/>
    <x v="0"/>
    <x v="0"/>
    <d v="2025-08-11T00:00:00"/>
    <s v="PivotTables"/>
  </r>
  <r>
    <s v="Conor"/>
    <s v="Conor@moth.com"/>
    <x v="1"/>
    <x v="1"/>
    <d v="2025-08-11T00:00:00"/>
    <s v="Reporting"/>
  </r>
  <r>
    <s v="David"/>
    <s v="david@gmail.com"/>
    <x v="2"/>
    <x v="2"/>
    <d v="2025-08-11T00:00:00"/>
    <s v="Data cleaning automation"/>
  </r>
  <r>
    <s v="Mynda"/>
    <s v="mynda@moth.com"/>
    <x v="3"/>
    <x v="3"/>
    <d v="2025-08-11T00:00:00"/>
    <s v="Presentations"/>
  </r>
  <r>
    <s v="Mynda"/>
    <s v="mynda@moth.com"/>
    <x v="0"/>
    <x v="3"/>
    <d v="2025-08-12T00:00:00"/>
    <s v="Chart design."/>
  </r>
  <r>
    <s v="Brian"/>
    <s v="brian@gmail.com"/>
    <x v="0"/>
    <x v="0"/>
    <d v="2025-08-12T00:00:00"/>
    <s v="1:1 training and consulting."/>
  </r>
  <r>
    <s v="Jane"/>
    <s v="jane@aol.com"/>
    <x v="0"/>
    <x v="1"/>
    <d v="2025-08-12T00:00:00"/>
    <s v="Power Query"/>
  </r>
  <r>
    <s v="Rupert"/>
    <s v="rupert@aol.com"/>
    <x v="4"/>
    <x v="2"/>
    <d v="2025-08-12T00:00:00"/>
    <s v="Model development."/>
  </r>
  <r>
    <s v="Mary"/>
    <s v="mary@yahoo.com"/>
    <x v="2"/>
    <x v="3"/>
    <d v="2025-08-12T00:00:00"/>
    <s v="Messy data needs cleaning."/>
  </r>
  <r>
    <s v="Richard Ellis"/>
    <s v="Richard@aol.com"/>
    <x v="5"/>
    <x v="0"/>
    <d v="2025-08-14T00:00:00"/>
    <s v="LAMBDA custom functions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E75CC0-14A3-4D05-B093-CC11471AE27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B4:D14" firstHeaderRow="1" firstDataRow="1" firstDataCol="2"/>
  <pivotFields count="6">
    <pivotField dataField="1"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6">
        <item x="0"/>
        <item x="1"/>
        <item x="4"/>
        <item x="2"/>
        <item x="3"/>
        <item x="5"/>
      </items>
    </pivotField>
    <pivotField axis="axisRow" compact="0" outline="0" subtotalTop="0" showAll="0" defaultSubtotal="0">
      <items count="4">
        <item x="0"/>
        <item x="3"/>
        <item x="2"/>
        <item x="1"/>
      </items>
    </pivotField>
    <pivotField compact="0" numFmtId="14" outline="0" subtotalTop="0" showAll="0" defaultSubtotal="0"/>
    <pivotField compact="0" outline="0" subtotalTop="0" showAll="0" defaultSubtotal="0"/>
  </pivotFields>
  <rowFields count="2">
    <field x="3"/>
    <field x="2"/>
  </rowFields>
  <rowItems count="10">
    <i>
      <x/>
      <x/>
    </i>
    <i r="1">
      <x v="5"/>
    </i>
    <i>
      <x v="1"/>
      <x/>
    </i>
    <i r="1">
      <x v="3"/>
    </i>
    <i r="1">
      <x v="4"/>
    </i>
    <i>
      <x v="2"/>
      <x v="2"/>
    </i>
    <i r="1">
      <x v="3"/>
    </i>
    <i>
      <x v="3"/>
      <x/>
    </i>
    <i r="1">
      <x v="1"/>
    </i>
    <i t="grand">
      <x/>
    </i>
  </rowItems>
  <colItems count="1">
    <i/>
  </colItems>
  <dataFields count="1">
    <dataField name="Count of Full Name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9C2755-8FC1-4DED-8E5D-E342E797B0F0}" name="ClientData" displayName="ClientData" ref="B5:G15" totalsRowShown="0" headerRowDxfId="9" dataDxfId="8">
  <autoFilter ref="B5:G15" xr:uid="{E69C2755-8FC1-4DED-8E5D-E342E797B0F0}"/>
  <tableColumns count="6">
    <tableColumn id="1" xr3:uid="{B405DA3C-25E4-4E26-9543-3323275C521B}" name="Full Name" dataDxfId="7"/>
    <tableColumn id="2" xr3:uid="{08B26FE3-D035-46A7-8254-72F3E35A3D1B}" name="Email" dataDxfId="6"/>
    <tableColumn id="3" xr3:uid="{B552C092-A370-4DD2-B36E-98CB47BEED4F}" name="Service" dataDxfId="5"/>
    <tableColumn id="4" xr3:uid="{360EE3A6-E641-4E37-AB81-3E093D827E23}" name="Industry" dataDxfId="4"/>
    <tableColumn id="5" xr3:uid="{1DEF1BC6-7805-462F-9271-3815620D4915}" name="Date" dataDxfId="3"/>
    <tableColumn id="6" xr3:uid="{84771245-0513-4203-BB02-042A2F5E4B11}" name="Notes" dataDxfId="2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Sam@example.com" TargetMode="External"/><Relationship Id="rId1" Type="http://schemas.openxmlformats.org/officeDocument/2006/relationships/hyperlink" Target="mailto:Sam@example.com" TargetMode="External"/><Relationship Id="rId4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6F028-1FFA-4A23-8BC8-BF4804417E3C}">
  <dimension ref="A1"/>
  <sheetViews>
    <sheetView showGridLines="0" zoomScaleNormal="100" workbookViewId="0">
      <selection activeCell="L8" sqref="L8"/>
    </sheetView>
  </sheetViews>
  <sheetFormatPr defaultRowHeight="15" x14ac:dyDescent="0.25"/>
  <cols>
    <col min="1" max="1" width="2.7109375" customWidth="1"/>
    <col min="10" max="10" width="4.5703125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751F1-0960-4650-BC6D-021B2F78A774}">
  <sheetPr>
    <tabColor theme="7"/>
  </sheetPr>
  <dimension ref="A1:ET18"/>
  <sheetViews>
    <sheetView showGridLines="0" tabSelected="1" zoomScale="73" zoomScaleNormal="73" workbookViewId="0">
      <selection activeCell="G1" sqref="G1"/>
    </sheetView>
  </sheetViews>
  <sheetFormatPr defaultRowHeight="16.5" x14ac:dyDescent="0.3"/>
  <cols>
    <col min="1" max="1" width="8.28515625" style="2" customWidth="1"/>
    <col min="2" max="2" width="3.42578125" style="2" customWidth="1"/>
    <col min="3" max="3" width="11.7109375" style="2" customWidth="1"/>
    <col min="4" max="4" width="38.140625" style="2" customWidth="1"/>
    <col min="5" max="5" width="3.5703125" style="2" customWidth="1"/>
    <col min="6" max="6" width="3.42578125" style="2" customWidth="1"/>
    <col min="7" max="7" width="16.85546875" style="2" customWidth="1"/>
    <col min="8" max="8" width="24.7109375" style="2" bestFit="1" customWidth="1"/>
    <col min="9" max="9" width="10" style="2" bestFit="1" customWidth="1"/>
    <col min="10" max="10" width="11.85546875" style="2" bestFit="1" customWidth="1"/>
    <col min="11" max="11" width="10" style="2" bestFit="1" customWidth="1"/>
    <col min="12" max="12" width="9.28515625" style="2" bestFit="1" customWidth="1"/>
    <col min="13" max="16" width="9.28515625" style="2" customWidth="1"/>
    <col min="17" max="17" width="17" style="2" bestFit="1" customWidth="1"/>
    <col min="18" max="19" width="15.85546875" style="2" customWidth="1"/>
    <col min="20" max="16384" width="9.140625" style="2"/>
  </cols>
  <sheetData>
    <row r="1" spans="1:150" s="4" customFormat="1" ht="48.75" customHeight="1" x14ac:dyDescent="0.3">
      <c r="A1" s="3"/>
      <c r="B1" s="3"/>
      <c r="C1" s="3" t="s">
        <v>0</v>
      </c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</row>
    <row r="2" spans="1:150" ht="15.75" customHeight="1" x14ac:dyDescent="0.3"/>
    <row r="3" spans="1:150" ht="42.75" customHeight="1" x14ac:dyDescent="0.3">
      <c r="B3" s="13" t="s">
        <v>1</v>
      </c>
      <c r="C3" s="13"/>
      <c r="D3" s="13"/>
      <c r="E3" s="13"/>
    </row>
    <row r="4" spans="1:150" x14ac:dyDescent="0.3">
      <c r="B4" s="7"/>
      <c r="C4" s="7"/>
      <c r="D4" s="7"/>
      <c r="E4" s="7"/>
    </row>
    <row r="5" spans="1:150" ht="24.75" customHeight="1" thickBot="1" x14ac:dyDescent="0.35">
      <c r="B5" s="7"/>
      <c r="C5" s="11" t="s">
        <v>2</v>
      </c>
      <c r="D5" s="15"/>
      <c r="E5" s="7"/>
      <c r="G5" s="6" t="str">
        <f>IF(ISNUMBER(_xlfn.XMATCH(D5,ClientData[Full Name],0)),"⚠️This customer is already in the database.","")</f>
        <v/>
      </c>
    </row>
    <row r="6" spans="1:150" ht="16.5" customHeight="1" x14ac:dyDescent="0.3">
      <c r="B6" s="7"/>
      <c r="C6" s="11"/>
      <c r="D6" s="8"/>
      <c r="E6" s="7"/>
    </row>
    <row r="7" spans="1:150" ht="24.75" customHeight="1" thickBot="1" x14ac:dyDescent="0.35">
      <c r="B7" s="7"/>
      <c r="C7" s="11" t="s">
        <v>3</v>
      </c>
      <c r="D7" s="15"/>
      <c r="E7" s="7"/>
      <c r="G7" s="6" t="str">
        <f>IF(ISNUMBER(_xlfn.XMATCH(D7,ClientData[Email],0)),"⚠️This email is already in the database.","")</f>
        <v/>
      </c>
    </row>
    <row r="8" spans="1:150" ht="16.5" customHeight="1" x14ac:dyDescent="0.3">
      <c r="B8" s="7"/>
      <c r="C8" s="11"/>
      <c r="D8" s="9"/>
      <c r="E8" s="7"/>
    </row>
    <row r="9" spans="1:150" ht="24.75" customHeight="1" thickBot="1" x14ac:dyDescent="0.35">
      <c r="B9" s="7"/>
      <c r="C9" s="11" t="s">
        <v>4</v>
      </c>
      <c r="D9" s="15"/>
      <c r="E9" s="7"/>
    </row>
    <row r="10" spans="1:150" ht="16.5" customHeight="1" x14ac:dyDescent="0.3">
      <c r="B10" s="7"/>
      <c r="C10" s="11"/>
      <c r="D10" s="9"/>
      <c r="E10" s="7"/>
    </row>
    <row r="11" spans="1:150" ht="24.75" customHeight="1" thickBot="1" x14ac:dyDescent="0.35">
      <c r="B11" s="7"/>
      <c r="C11" s="11" t="s">
        <v>5</v>
      </c>
      <c r="D11" s="15"/>
      <c r="E11" s="7"/>
    </row>
    <row r="12" spans="1:150" ht="16.5" customHeight="1" x14ac:dyDescent="0.3">
      <c r="B12" s="7"/>
      <c r="C12" s="11"/>
      <c r="D12" s="9"/>
      <c r="E12" s="7"/>
    </row>
    <row r="13" spans="1:150" ht="24.75" customHeight="1" thickBot="1" x14ac:dyDescent="0.35">
      <c r="B13" s="7"/>
      <c r="C13" s="11" t="s">
        <v>6</v>
      </c>
      <c r="D13" s="16">
        <f ca="1">TODAY()</f>
        <v>46106</v>
      </c>
      <c r="E13" s="7"/>
    </row>
    <row r="14" spans="1:150" ht="16.5" customHeight="1" x14ac:dyDescent="0.3">
      <c r="B14" s="7"/>
      <c r="C14" s="12"/>
      <c r="D14" s="10"/>
      <c r="E14" s="7"/>
    </row>
    <row r="15" spans="1:150" ht="93" customHeight="1" thickBot="1" x14ac:dyDescent="0.35">
      <c r="B15" s="7"/>
      <c r="C15" s="12" t="s">
        <v>7</v>
      </c>
      <c r="D15" s="20"/>
      <c r="E15" s="7"/>
    </row>
    <row r="16" spans="1:150" x14ac:dyDescent="0.3">
      <c r="B16" s="7"/>
      <c r="C16" s="7"/>
      <c r="D16" s="7"/>
      <c r="E16" s="7"/>
    </row>
    <row r="17" spans="2:5" x14ac:dyDescent="0.3">
      <c r="B17" s="7"/>
      <c r="C17" s="7"/>
      <c r="D17" s="7"/>
      <c r="E17" s="7"/>
    </row>
    <row r="18" spans="2:5" x14ac:dyDescent="0.3">
      <c r="B18" s="7"/>
      <c r="C18" s="7"/>
      <c r="D18" s="7"/>
      <c r="E18" s="7"/>
    </row>
  </sheetData>
  <sheetProtection selectLockedCells="1"/>
  <protectedRanges>
    <protectedRange sqref="D9" name="Service"/>
    <protectedRange sqref="D5" name="FullName"/>
    <protectedRange sqref="D7" name="Email"/>
    <protectedRange sqref="D11" name="Status"/>
    <protectedRange sqref="D13" name="Date"/>
    <protectedRange sqref="D15" name="Notes"/>
  </protectedRanges>
  <sortState xmlns:xlrd2="http://schemas.microsoft.com/office/spreadsheetml/2017/richdata2" ref="F2:F36">
    <sortCondition ref="F2:F36"/>
  </sortState>
  <dataValidations count="1">
    <dataValidation type="list" allowBlank="1" showInputMessage="1" showErrorMessage="1" sqref="D11" xr:uid="{553B2818-D0A7-47FD-B196-BA7C62EAD4A8}">
      <formula1>"Education,Finance,Healthcare,Retail,Technology"</formula1>
    </dataValidation>
  </dataValidations>
  <pageMargins left="0.7" right="0.7" top="0.75" bottom="0.75" header="0.3" footer="0.3"/>
  <pageSetup paperSize="9" orientation="portrait" r:id="rId1"/>
  <ignoredErrors>
    <ignoredError sqref="D13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377C6-1A09-4B11-B9AF-CE35AA318AB5}">
  <sheetPr>
    <tabColor theme="9"/>
  </sheetPr>
  <dimension ref="A1:CPA20"/>
  <sheetViews>
    <sheetView showGridLines="0" zoomScaleNormal="100" workbookViewId="0">
      <selection activeCell="B1" sqref="B1"/>
    </sheetView>
  </sheetViews>
  <sheetFormatPr defaultRowHeight="16.5" x14ac:dyDescent="0.3"/>
  <cols>
    <col min="1" max="1" width="3.42578125" style="2" customWidth="1"/>
    <col min="2" max="2" width="20.85546875" style="2" customWidth="1"/>
    <col min="3" max="3" width="33" style="2" customWidth="1"/>
    <col min="4" max="4" width="20.140625" style="2" customWidth="1"/>
    <col min="5" max="5" width="14.140625" style="2" customWidth="1"/>
    <col min="6" max="6" width="11.7109375" style="2" customWidth="1"/>
    <col min="7" max="7" width="27.28515625" style="2" bestFit="1" customWidth="1"/>
    <col min="8" max="8" width="10" style="2" bestFit="1" customWidth="1"/>
    <col min="9" max="9" width="11.85546875" style="2" bestFit="1" customWidth="1"/>
    <col min="10" max="10" width="10" style="2" bestFit="1" customWidth="1"/>
    <col min="11" max="11" width="9.28515625" style="2" bestFit="1" customWidth="1"/>
    <col min="12" max="15" width="9.28515625" style="2" customWidth="1"/>
    <col min="16" max="16" width="17" style="2" bestFit="1" customWidth="1"/>
    <col min="17" max="18" width="15.85546875" style="2" customWidth="1"/>
    <col min="19" max="16384" width="9.140625" style="2"/>
  </cols>
  <sheetData>
    <row r="1" spans="1:2445" s="4" customFormat="1" ht="48.75" customHeight="1" x14ac:dyDescent="0.3">
      <c r="A1" s="2"/>
      <c r="B1" s="3" t="s">
        <v>8</v>
      </c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</row>
    <row r="3" spans="1:2445" ht="32.25" customHeight="1" x14ac:dyDescent="0.3">
      <c r="B3" s="18" t="str">
        <f>IF(B6="","",IF(COUNTA(_xlfn.UNIQUE(ClientData[Email]))&lt;&gt;COUNTA(ClientData[Email]),"⚠️ Duplicate Customers Exist",""))</f>
        <v>⚠️ Duplicate Customers Exist</v>
      </c>
      <c r="C3" s="19"/>
      <c r="D3" s="19"/>
      <c r="E3" s="19"/>
      <c r="F3" s="19"/>
      <c r="G3" s="19"/>
    </row>
    <row r="5" spans="1:2445" x14ac:dyDescent="0.3"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14" t="s">
        <v>7</v>
      </c>
    </row>
    <row r="6" spans="1:2445" x14ac:dyDescent="0.3">
      <c r="B6" s="2" t="s">
        <v>9</v>
      </c>
      <c r="C6" s="2" t="s">
        <v>43</v>
      </c>
      <c r="D6" s="2" t="s">
        <v>10</v>
      </c>
      <c r="E6" s="2" t="s">
        <v>11</v>
      </c>
      <c r="F6" s="5">
        <v>45880</v>
      </c>
      <c r="G6" s="14" t="s">
        <v>12</v>
      </c>
    </row>
    <row r="7" spans="1:2445" x14ac:dyDescent="0.3">
      <c r="B7" s="2" t="s">
        <v>13</v>
      </c>
      <c r="C7" s="2" t="s">
        <v>44</v>
      </c>
      <c r="D7" s="2" t="s">
        <v>14</v>
      </c>
      <c r="E7" s="2" t="s">
        <v>15</v>
      </c>
      <c r="F7" s="5">
        <v>45880</v>
      </c>
      <c r="G7" s="14" t="s">
        <v>16</v>
      </c>
    </row>
    <row r="8" spans="1:2445" x14ac:dyDescent="0.3">
      <c r="B8" s="2" t="s">
        <v>17</v>
      </c>
      <c r="C8" s="2" t="s">
        <v>45</v>
      </c>
      <c r="D8" s="2" t="s">
        <v>18</v>
      </c>
      <c r="E8" s="2" t="s">
        <v>19</v>
      </c>
      <c r="F8" s="5">
        <v>45880</v>
      </c>
      <c r="G8" s="14" t="s">
        <v>20</v>
      </c>
    </row>
    <row r="9" spans="1:2445" x14ac:dyDescent="0.3">
      <c r="B9" s="2" t="s">
        <v>46</v>
      </c>
      <c r="C9" s="1" t="s">
        <v>47</v>
      </c>
      <c r="D9" s="2" t="s">
        <v>10</v>
      </c>
      <c r="E9" s="2" t="s">
        <v>22</v>
      </c>
      <c r="F9" s="5">
        <v>45881</v>
      </c>
      <c r="G9" s="14" t="s">
        <v>23</v>
      </c>
    </row>
    <row r="10" spans="1:2445" x14ac:dyDescent="0.3">
      <c r="B10" s="2" t="s">
        <v>46</v>
      </c>
      <c r="C10" s="1" t="s">
        <v>47</v>
      </c>
      <c r="D10" s="2" t="s">
        <v>10</v>
      </c>
      <c r="E10" s="2" t="s">
        <v>22</v>
      </c>
      <c r="F10" s="5">
        <v>45881</v>
      </c>
      <c r="G10" s="14" t="s">
        <v>23</v>
      </c>
    </row>
    <row r="11" spans="1:2445" x14ac:dyDescent="0.3">
      <c r="B11" s="2" t="s">
        <v>24</v>
      </c>
      <c r="C11" s="2" t="s">
        <v>42</v>
      </c>
      <c r="D11" s="2" t="s">
        <v>10</v>
      </c>
      <c r="E11" s="2" t="s">
        <v>11</v>
      </c>
      <c r="F11" s="5">
        <v>45881</v>
      </c>
      <c r="G11" s="14" t="s">
        <v>25</v>
      </c>
    </row>
    <row r="12" spans="1:2445" x14ac:dyDescent="0.3">
      <c r="B12" s="2" t="s">
        <v>26</v>
      </c>
      <c r="C12" s="2" t="s">
        <v>38</v>
      </c>
      <c r="D12" s="2" t="s">
        <v>10</v>
      </c>
      <c r="E12" s="2" t="s">
        <v>15</v>
      </c>
      <c r="F12" s="5">
        <v>45881</v>
      </c>
      <c r="G12" s="14" t="s">
        <v>18</v>
      </c>
    </row>
    <row r="13" spans="1:2445" x14ac:dyDescent="0.3">
      <c r="B13" s="2" t="s">
        <v>27</v>
      </c>
      <c r="C13" s="2" t="s">
        <v>39</v>
      </c>
      <c r="D13" s="2" t="s">
        <v>28</v>
      </c>
      <c r="E13" s="2" t="s">
        <v>19</v>
      </c>
      <c r="F13" s="5">
        <v>45881</v>
      </c>
      <c r="G13" s="14" t="s">
        <v>29</v>
      </c>
    </row>
    <row r="14" spans="1:2445" x14ac:dyDescent="0.3">
      <c r="B14" s="2" t="s">
        <v>30</v>
      </c>
      <c r="C14" s="2" t="s">
        <v>40</v>
      </c>
      <c r="D14" s="2" t="s">
        <v>18</v>
      </c>
      <c r="E14" s="2" t="s">
        <v>22</v>
      </c>
      <c r="F14" s="5">
        <v>45881</v>
      </c>
      <c r="G14" s="14" t="s">
        <v>31</v>
      </c>
    </row>
    <row r="15" spans="1:2445" x14ac:dyDescent="0.3">
      <c r="B15" s="2" t="s">
        <v>32</v>
      </c>
      <c r="C15" s="2" t="s">
        <v>41</v>
      </c>
      <c r="D15" s="2" t="s">
        <v>33</v>
      </c>
      <c r="E15" s="2" t="s">
        <v>11</v>
      </c>
      <c r="F15" s="5">
        <v>45883</v>
      </c>
      <c r="G15" s="14" t="s">
        <v>34</v>
      </c>
    </row>
    <row r="16" spans="1:2445" x14ac:dyDescent="0.3">
      <c r="D16"/>
    </row>
    <row r="20" spans="4:4" x14ac:dyDescent="0.3">
      <c r="D20"/>
    </row>
  </sheetData>
  <conditionalFormatting sqref="B3:G3">
    <cfRule type="expression" dxfId="1" priority="1">
      <formula>$B$3="⚠️ Duplicate Customers Exist"</formula>
    </cfRule>
  </conditionalFormatting>
  <conditionalFormatting sqref="C6:C15">
    <cfRule type="duplicateValues" dxfId="0" priority="9"/>
  </conditionalFormatting>
  <hyperlinks>
    <hyperlink ref="C9" r:id="rId1" xr:uid="{7E175666-D006-471C-AE6F-18A1E81BFB07}"/>
    <hyperlink ref="C10" r:id="rId2" xr:uid="{595A208B-41F9-4889-ABC5-539432EC6D0A}"/>
  </hyperlinks>
  <pageMargins left="0.7" right="0.7" top="0.75" bottom="0.75" header="0.3" footer="0.3"/>
  <pageSetup paperSize="9" orientation="portrait"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123DF-A10C-4B29-B3BC-51835039F2B1}">
  <dimension ref="A1:EC14"/>
  <sheetViews>
    <sheetView showGridLines="0" zoomScale="55" zoomScaleNormal="55" workbookViewId="0">
      <selection activeCell="D1" sqref="D1"/>
    </sheetView>
  </sheetViews>
  <sheetFormatPr defaultRowHeight="15" x14ac:dyDescent="0.25"/>
  <cols>
    <col min="2" max="2" width="12.5703125" bestFit="1" customWidth="1"/>
    <col min="3" max="3" width="14.28515625" bestFit="1" customWidth="1"/>
    <col min="4" max="5" width="18.28515625" bestFit="1" customWidth="1"/>
    <col min="6" max="6" width="14" bestFit="1" customWidth="1"/>
  </cols>
  <sheetData>
    <row r="1" spans="1:133" s="4" customFormat="1" ht="48.75" customHeight="1" x14ac:dyDescent="0.3">
      <c r="A1" s="3" t="s">
        <v>35</v>
      </c>
      <c r="B1" s="3"/>
      <c r="C1" s="3"/>
      <c r="D1" s="3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</row>
    <row r="4" spans="1:133" x14ac:dyDescent="0.25">
      <c r="B4" s="17" t="s">
        <v>5</v>
      </c>
      <c r="C4" s="17" t="s">
        <v>4</v>
      </c>
      <c r="D4" t="s">
        <v>36</v>
      </c>
    </row>
    <row r="5" spans="1:133" x14ac:dyDescent="0.25">
      <c r="B5" t="s">
        <v>11</v>
      </c>
      <c r="C5" t="s">
        <v>10</v>
      </c>
      <c r="D5">
        <v>2</v>
      </c>
    </row>
    <row r="6" spans="1:133" x14ac:dyDescent="0.25">
      <c r="C6" t="s">
        <v>33</v>
      </c>
      <c r="D6">
        <v>1</v>
      </c>
    </row>
    <row r="7" spans="1:133" x14ac:dyDescent="0.25">
      <c r="B7" t="s">
        <v>22</v>
      </c>
      <c r="C7" t="s">
        <v>10</v>
      </c>
      <c r="D7">
        <v>1</v>
      </c>
    </row>
    <row r="8" spans="1:133" x14ac:dyDescent="0.25">
      <c r="C8" t="s">
        <v>18</v>
      </c>
      <c r="D8">
        <v>1</v>
      </c>
    </row>
    <row r="9" spans="1:133" x14ac:dyDescent="0.25">
      <c r="C9" t="s">
        <v>21</v>
      </c>
      <c r="D9">
        <v>1</v>
      </c>
    </row>
    <row r="10" spans="1:133" x14ac:dyDescent="0.25">
      <c r="B10" t="s">
        <v>19</v>
      </c>
      <c r="C10" t="s">
        <v>28</v>
      </c>
      <c r="D10">
        <v>1</v>
      </c>
    </row>
    <row r="11" spans="1:133" x14ac:dyDescent="0.25">
      <c r="C11" t="s">
        <v>18</v>
      </c>
      <c r="D11">
        <v>1</v>
      </c>
    </row>
    <row r="12" spans="1:133" x14ac:dyDescent="0.25">
      <c r="B12" t="s">
        <v>15</v>
      </c>
      <c r="C12" t="s">
        <v>10</v>
      </c>
      <c r="D12">
        <v>1</v>
      </c>
    </row>
    <row r="13" spans="1:133" x14ac:dyDescent="0.25">
      <c r="C13" t="s">
        <v>14</v>
      </c>
      <c r="D13">
        <v>1</v>
      </c>
    </row>
    <row r="14" spans="1:133" x14ac:dyDescent="0.25">
      <c r="B14" t="s">
        <v>37</v>
      </c>
      <c r="D14">
        <v>10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4ec5a1a-e29c-407e-9660-cb4eaaff03ab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A9E49C56486844AEA3493470A3BA7F" ma:contentTypeVersion="18" ma:contentTypeDescription="Create a new document." ma:contentTypeScope="" ma:versionID="e113dd8c6d9d6d8e50c33cd355eeb814">
  <xsd:schema xmlns:xsd="http://www.w3.org/2001/XMLSchema" xmlns:xs="http://www.w3.org/2001/XMLSchema" xmlns:p="http://schemas.microsoft.com/office/2006/metadata/properties" xmlns:ns3="04ec5a1a-e29c-407e-9660-cb4eaaff03ab" xmlns:ns4="98587d8b-32ff-4694-8d3a-6f66eb643b0d" targetNamespace="http://schemas.microsoft.com/office/2006/metadata/properties" ma:root="true" ma:fieldsID="654ccc4b072c8ba42f6f064ab7b3a12b" ns3:_="" ns4:_="">
    <xsd:import namespace="04ec5a1a-e29c-407e-9660-cb4eaaff03ab"/>
    <xsd:import namespace="98587d8b-32ff-4694-8d3a-6f66eb643b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ec5a1a-e29c-407e-9660-cb4eaaff03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87d8b-32ff-4694-8d3a-6f66eb643b0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scriptIds xmlns="http://schemas.microsoft.com/office/extensibility/maker/v1.0" id="script-ids-node-id">
  <scriptId id="ms-officescript%3A%2F%2Fonedrive_business_itemlink%2F01L3XNQCWV5KMNG6NOH5E3TFD7DPQWERAU:ms-officescript%3A%2F%2Fonedrive_business_sharinglink%2Fu!aHR0cHM6Ly8zNjVtb3RoLW15LnNoYXJlcG9pbnQuY29tLzp1Oi9nL3BlcnNvbmFsL215bmRhX3RyZWFjeV9teW9ubGluZXRyYWluaW5naHViX2NvbS9FZFhxbU5ONXJqOUp1WlJfRy1GaVJCUUJkZGxRMURvQWRzXzB0SU9UT3lWRUxn"/>
</scriptIds>
</file>

<file path=customXml/itemProps1.xml><?xml version="1.0" encoding="utf-8"?>
<ds:datastoreItem xmlns:ds="http://schemas.openxmlformats.org/officeDocument/2006/customXml" ds:itemID="{76F14EA0-1B09-4BA6-A1E0-FED8521C2B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B241E6-AE4C-4EA5-96CC-6E77ABF1BB4A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8C00B319-165B-4AE8-A6AE-EED707A1FDFE}">
  <ds:schemaRefs>
    <ds:schemaRef ds:uri="http://schemas.microsoft.com/office/2006/metadata/properties"/>
    <ds:schemaRef ds:uri="http://schemas.microsoft.com/office/infopath/2007/PartnerControls"/>
    <ds:schemaRef ds:uri="04ec5a1a-e29c-407e-9660-cb4eaaff03ab"/>
  </ds:schemaRefs>
</ds:datastoreItem>
</file>

<file path=customXml/itemProps4.xml><?xml version="1.0" encoding="utf-8"?>
<ds:datastoreItem xmlns:ds="http://schemas.openxmlformats.org/officeDocument/2006/customXml" ds:itemID="{457DBA47-F610-4D73-8726-44D7DFDA9E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ec5a1a-e29c-407e-9660-cb4eaaff03ab"/>
    <ds:schemaRef ds:uri="98587d8b-32ff-4694-8d3a-6f66eb643b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EF920529-7AF0-4602-BBCE-29D8185848E4}">
  <ds:schemaRefs>
    <ds:schemaRef ds:uri="http://schemas.microsoft.com/office/extensibility/maker/v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Script</vt:lpstr>
      <vt:lpstr>Client Form</vt:lpstr>
      <vt:lpstr>Database</vt:lpstr>
      <vt:lpstr>Report</vt:lpstr>
      <vt:lpstr>clients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Mynda Treacy</dc:creator>
  <cp:keywords/>
  <dc:description/>
  <cp:lastModifiedBy>MUHAMMAD SALEEM MALIK</cp:lastModifiedBy>
  <cp:revision/>
  <dcterms:created xsi:type="dcterms:W3CDTF">2019-12-23T04:48:23Z</dcterms:created>
  <dcterms:modified xsi:type="dcterms:W3CDTF">2026-03-25T06:00:32Z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0x01010076A9E49C56486844AEA3493470A3BA7F</vt:lpwstr>
  </property>
</Properties>
</file>